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6" documentId="11_B04DD094BDFBE63DDAC11734AD4E1304E7723B4F" xr6:coauthVersionLast="47" xr6:coauthVersionMax="47" xr10:uidLastSave="{5C9ABBF7-B2EF-4509-B741-A9AF4E5A6948}"/>
  <bookViews>
    <workbookView xWindow="-108" yWindow="-108" windowWidth="23256" windowHeight="12720" firstSheet="1" activeTab="4" xr2:uid="{00000000-000D-0000-FFFF-FFFF00000000}"/>
  </bookViews>
  <sheets>
    <sheet name="instructions" sheetId="1" r:id="rId1"/>
    <sheet name="campaign_engagement" sheetId="2" r:id="rId2"/>
    <sheet name="audience_by_age" sheetId="3" r:id="rId3"/>
    <sheet name="dropout_analysis" sheetId="4" r:id="rId4"/>
    <sheet name="Dashboard" sheetId="7" r:id="rId5"/>
    <sheet name="Pivot Tables" sheetId="5" r:id="rId6"/>
  </sheets>
  <calcPr calcId="0"/>
  <pivotCaches>
    <pivotCache cacheId="0" r:id="rId7"/>
    <pivotCache cacheId="1" r:id="rId8"/>
    <pivotCache cacheId="2" r:id="rId9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<sst xmlns="http://schemas.openxmlformats.org/spreadsheetml/2006/main" count="88" uniqueCount="49">
  <si>
    <t>📘 Day 22 Exercise - Data Visualization Practice</t>
  </si>
  <si>
    <t>🎯 Goal:</t>
  </si>
  <si>
    <t>You're working as a Junior Data Analyst for a UK-based public health initiative.</t>
  </si>
  <si>
    <t>You’ve been given data from a recent campaign and need to create visuals that tell a story.</t>
  </si>
  <si>
    <t>📌 Scenario:</t>
  </si>
  <si>
    <t>The campaign ran across 6 UK cities to raise awareness around mental wellbeing and access to free health checkups.</t>
  </si>
  <si>
    <t>You need to build visuals that help your managers and stakeholders answer these questions:</t>
  </si>
  <si>
    <t>- Which cities are seeing the highest campaign reach?</t>
  </si>
  <si>
    <t>- Are people completing their appointments after registering?</t>
  </si>
  <si>
    <t>- Which age groups are engaging most with the campaign?</t>
  </si>
  <si>
    <t>- Are there any red flags we should be aware of?</t>
  </si>
  <si>
    <t>🛠️ Tasks:</t>
  </si>
  <si>
    <t>1️⃣ Use bar charts to compare city-level engagement.</t>
  </si>
  <si>
    <t>2️⃣ Use colour intentionally to highlight trends or outliers.</t>
  </si>
  <si>
    <t>3️⃣ Sort your data so high-performing categories are easier to spot.</t>
  </si>
  <si>
    <t>4️⃣ Remove gridlines and clutter to keep visuals clean.</t>
  </si>
  <si>
    <t>5️⃣ Add clear chart titles and subtitles to tell the story behind the numbers.</t>
  </si>
  <si>
    <t>📊 Dataset Tabs:</t>
  </si>
  <si>
    <t>- 'campaign_engagement' → Summary by city</t>
  </si>
  <si>
    <t>- 'audience_by_age' → Engagement breakdown by age group</t>
  </si>
  <si>
    <t>- 'dropout_analysis' → People who registered vs completed appointments</t>
  </si>
  <si>
    <t>City</t>
  </si>
  <si>
    <t>Reach</t>
  </si>
  <si>
    <t>Registrations</t>
  </si>
  <si>
    <t>Completion Rate (%)</t>
  </si>
  <si>
    <t>Manchester</t>
  </si>
  <si>
    <t>Bristol</t>
  </si>
  <si>
    <t>Leeds</t>
  </si>
  <si>
    <t>Glasgow</t>
  </si>
  <si>
    <t>Liverpool</t>
  </si>
  <si>
    <t>Birmingham</t>
  </si>
  <si>
    <t>Age Group</t>
  </si>
  <si>
    <t>18-24</t>
  </si>
  <si>
    <t>25-34</t>
  </si>
  <si>
    <t>35-44</t>
  </si>
  <si>
    <t>45-54</t>
  </si>
  <si>
    <t>55-64</t>
  </si>
  <si>
    <t>65+</t>
  </si>
  <si>
    <t>Registered</t>
  </si>
  <si>
    <t>Completed</t>
  </si>
  <si>
    <t>Dropouts</t>
  </si>
  <si>
    <t>Dropout Rate (%)</t>
  </si>
  <si>
    <t>Row Labels</t>
  </si>
  <si>
    <t>Grand Total</t>
  </si>
  <si>
    <t>Sum of Reach</t>
  </si>
  <si>
    <t>Sum of Registrations</t>
  </si>
  <si>
    <t>Sum of Dropout Rate (%)</t>
  </si>
  <si>
    <t>Sum of Registered</t>
  </si>
  <si>
    <t>Sum of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</si>
</sst>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75EA1"/>
      <color rgb="FF2F72C3"/>
      <color rgb="FF83AE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[Day22_Practice-Data Visualization (PART 2)_Advanced.xlsx]Pivot 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Campain</a:t>
            </a:r>
            <a:r>
              <a:rPr lang="en-US" b="1" baseline="0"/>
              <a:t> Reach across UK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3AE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F72C3"/>
          </a:solidFill>
          <a:ln>
            <a:noFill/>
          </a:ln>
          <a:effectLst/>
        </c:spPr>
      </c:pivotFmt>
      <c:pivotFmt>
        <c:idx val="2"/>
        <c:spPr>
          <a:solidFill>
            <a:srgbClr val="83AE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F72C3"/>
          </a:solidFill>
          <a:ln>
            <a:noFill/>
          </a:ln>
          <a:effectLst/>
        </c:spPr>
      </c:pivotFmt>
      <c:pivotFmt>
        <c:idx val="4"/>
        <c:spPr>
          <a:solidFill>
            <a:srgbClr val="83AE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F72C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3AEE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F72C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AB-4238-B284-1FEBC2FEA49A}"/>
              </c:ext>
            </c:extLst>
          </c:dPt>
          <c:cat>
            <c:strRef>
              <c:f>'Pivot Tables'!$A$5:$A$11</c:f>
              <c:strCache>
                <c:ptCount val="6"/>
                <c:pt idx="0">
                  <c:v>Birmingham</c:v>
                </c:pt>
                <c:pt idx="1">
                  <c:v>Manchester</c:v>
                </c:pt>
                <c:pt idx="2">
                  <c:v>Leeds</c:v>
                </c:pt>
                <c:pt idx="3">
                  <c:v>Liverpool</c:v>
                </c:pt>
                <c:pt idx="4">
                  <c:v>Bristol</c:v>
                </c:pt>
                <c:pt idx="5">
                  <c:v>Glasgow</c:v>
                </c:pt>
              </c:strCache>
            </c:strRef>
          </c:cat>
          <c:val>
            <c:numRef>
              <c:f>'Pivot Tables'!$B$5:$B$11</c:f>
              <c:numCache>
                <c:formatCode>General</c:formatCode>
                <c:ptCount val="6"/>
                <c:pt idx="0">
                  <c:v>3600</c:v>
                </c:pt>
                <c:pt idx="1">
                  <c:v>3400</c:v>
                </c:pt>
                <c:pt idx="2">
                  <c:v>3200</c:v>
                </c:pt>
                <c:pt idx="3">
                  <c:v>3100</c:v>
                </c:pt>
                <c:pt idx="4">
                  <c:v>2900</c:v>
                </c:pt>
                <c:pt idx="5">
                  <c:v>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AB-4238-B284-1FEBC2FEA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074127"/>
        <c:axId val="932067471"/>
      </c:barChart>
      <c:catAx>
        <c:axId val="932074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67471"/>
        <c:crosses val="autoZero"/>
        <c:auto val="1"/>
        <c:lblAlgn val="ctr"/>
        <c:lblOffset val="100"/>
        <c:noMultiLvlLbl val="0"/>
      </c:catAx>
      <c:valAx>
        <c:axId val="932067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Sum of Reach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7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[Day22_Practice-Data Visualization (PART 2)_Advanced.xlsx]Pivot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Audience Registrations by Age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3AE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F72C3"/>
          </a:solidFill>
          <a:ln>
            <a:noFill/>
          </a:ln>
          <a:effectLst/>
        </c:spPr>
      </c:pivotFmt>
      <c:pivotFmt>
        <c:idx val="2"/>
        <c:spPr>
          <a:solidFill>
            <a:srgbClr val="83AE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F72C3"/>
          </a:solidFill>
          <a:ln>
            <a:noFill/>
          </a:ln>
          <a:effectLst/>
        </c:spPr>
      </c:pivotFmt>
      <c:pivotFmt>
        <c:idx val="4"/>
        <c:spPr>
          <a:solidFill>
            <a:srgbClr val="83AE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F72C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3AEE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F72C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A6-40D4-86E0-137D5E8E0FF3}"/>
              </c:ext>
            </c:extLst>
          </c:dPt>
          <c:cat>
            <c:strRef>
              <c:f>'Pivot Tables'!$F$5:$F$11</c:f>
              <c:strCache>
                <c:ptCount val="6"/>
                <c:pt idx="0">
                  <c:v>25-34</c:v>
                </c:pt>
                <c:pt idx="1">
                  <c:v>18-24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'Pivot Tables'!$G$5:$G$11</c:f>
              <c:numCache>
                <c:formatCode>General</c:formatCode>
                <c:ptCount val="6"/>
                <c:pt idx="0">
                  <c:v>1450</c:v>
                </c:pt>
                <c:pt idx="1">
                  <c:v>1200</c:v>
                </c:pt>
                <c:pt idx="2">
                  <c:v>1100</c:v>
                </c:pt>
                <c:pt idx="3">
                  <c:v>950</c:v>
                </c:pt>
                <c:pt idx="4">
                  <c:v>600</c:v>
                </c:pt>
                <c:pt idx="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A6-40D4-86E0-137D5E8E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44655"/>
        <c:axId val="937449647"/>
      </c:barChart>
      <c:catAx>
        <c:axId val="93744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49647"/>
        <c:crosses val="autoZero"/>
        <c:auto val="1"/>
        <c:lblAlgn val="ctr"/>
        <c:lblOffset val="100"/>
        <c:noMultiLvlLbl val="0"/>
      </c:catAx>
      <c:valAx>
        <c:axId val="937449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Audience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4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[Day22_Practice-Data Visualization (PART 2)_Advanced.xlsx]Pivot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Percentage</a:t>
            </a:r>
            <a:r>
              <a:rPr lang="en-US" b="1" baseline="0"/>
              <a:t> Rate of Registered Dropouts per City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FE-4616-9BB7-7EB90F639798}"/>
              </c:ext>
            </c:extLst>
          </c:dPt>
          <c:cat>
            <c:strRef>
              <c:f>'Pivot Tables'!$A$18:$A$24</c:f>
              <c:strCache>
                <c:ptCount val="6"/>
                <c:pt idx="0">
                  <c:v>Glasgow</c:v>
                </c:pt>
                <c:pt idx="1">
                  <c:v>Bristol</c:v>
                </c:pt>
                <c:pt idx="2">
                  <c:v>Liverpool</c:v>
                </c:pt>
                <c:pt idx="3">
                  <c:v>Leeds</c:v>
                </c:pt>
                <c:pt idx="4">
                  <c:v>Manchester</c:v>
                </c:pt>
                <c:pt idx="5">
                  <c:v>Birmingham</c:v>
                </c:pt>
              </c:strCache>
            </c:strRef>
          </c:cat>
          <c:val>
            <c:numRef>
              <c:f>'Pivot Tables'!$B$18:$B$24</c:f>
              <c:numCache>
                <c:formatCode>General</c:formatCode>
                <c:ptCount val="6"/>
                <c:pt idx="0">
                  <c:v>42</c:v>
                </c:pt>
                <c:pt idx="1">
                  <c:v>39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FE-4616-9BB7-7EB90F639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066639"/>
        <c:axId val="932074959"/>
      </c:barChart>
      <c:catAx>
        <c:axId val="932066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74959"/>
        <c:crosses val="autoZero"/>
        <c:auto val="1"/>
        <c:lblAlgn val="ctr"/>
        <c:lblOffset val="100"/>
        <c:noMultiLvlLbl val="0"/>
      </c:catAx>
      <c:valAx>
        <c:axId val="932074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Dropout Rates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6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[Day22_Practice-Data Visualization (PART 2)_Advanced.xlsx]Pivot 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Registrations vs</a:t>
            </a:r>
            <a:r>
              <a:rPr lang="en-US" b="1" baseline="0"/>
              <a:t> Sucessfully Completed Appointments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3AE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75EA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3AE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75EA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3AE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75EA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Tables'!$G$17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rgbClr val="83AEE1"/>
            </a:solidFill>
            <a:ln>
              <a:noFill/>
            </a:ln>
            <a:effectLst/>
          </c:spPr>
          <c:invertIfNegative val="0"/>
          <c:cat>
            <c:strRef>
              <c:f>'Pivot Tables'!$F$18:$F$24</c:f>
              <c:strCache>
                <c:ptCount val="6"/>
                <c:pt idx="0">
                  <c:v>Birmingham</c:v>
                </c:pt>
                <c:pt idx="1">
                  <c:v>Manchester</c:v>
                </c:pt>
                <c:pt idx="2">
                  <c:v>Leeds</c:v>
                </c:pt>
                <c:pt idx="3">
                  <c:v>Liverpool</c:v>
                </c:pt>
                <c:pt idx="4">
                  <c:v>Bristol</c:v>
                </c:pt>
                <c:pt idx="5">
                  <c:v>Glasgow</c:v>
                </c:pt>
              </c:strCache>
            </c:strRef>
          </c:cat>
          <c:val>
            <c:numRef>
              <c:f>'Pivot Tables'!$G$18:$G$24</c:f>
              <c:numCache>
                <c:formatCode>General</c:formatCode>
                <c:ptCount val="6"/>
                <c:pt idx="0">
                  <c:v>2300</c:v>
                </c:pt>
                <c:pt idx="1">
                  <c:v>2100</c:v>
                </c:pt>
                <c:pt idx="2">
                  <c:v>1900</c:v>
                </c:pt>
                <c:pt idx="3">
                  <c:v>1850</c:v>
                </c:pt>
                <c:pt idx="4">
                  <c:v>1750</c:v>
                </c:pt>
                <c:pt idx="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4-4CE2-BAF9-B12DFBF1F838}"/>
            </c:ext>
          </c:extLst>
        </c:ser>
        <c:ser>
          <c:idx val="1"/>
          <c:order val="1"/>
          <c:tx>
            <c:strRef>
              <c:f>'Pivot Tables'!$H$17</c:f>
              <c:strCache>
                <c:ptCount val="1"/>
                <c:pt idx="0">
                  <c:v>Sum of Completed</c:v>
                </c:pt>
              </c:strCache>
            </c:strRef>
          </c:tx>
          <c:spPr>
            <a:solidFill>
              <a:srgbClr val="275EA1"/>
            </a:solidFill>
            <a:ln>
              <a:noFill/>
            </a:ln>
            <a:effectLst/>
          </c:spPr>
          <c:invertIfNegative val="0"/>
          <c:cat>
            <c:strRef>
              <c:f>'Pivot Tables'!$F$18:$F$24</c:f>
              <c:strCache>
                <c:ptCount val="6"/>
                <c:pt idx="0">
                  <c:v>Birmingham</c:v>
                </c:pt>
                <c:pt idx="1">
                  <c:v>Manchester</c:v>
                </c:pt>
                <c:pt idx="2">
                  <c:v>Leeds</c:v>
                </c:pt>
                <c:pt idx="3">
                  <c:v>Liverpool</c:v>
                </c:pt>
                <c:pt idx="4">
                  <c:v>Bristol</c:v>
                </c:pt>
                <c:pt idx="5">
                  <c:v>Glasgow</c:v>
                </c:pt>
              </c:strCache>
            </c:strRef>
          </c:cat>
          <c:val>
            <c:numRef>
              <c:f>'Pivot Tables'!$H$18:$H$24</c:f>
              <c:numCache>
                <c:formatCode>General</c:formatCode>
                <c:ptCount val="6"/>
                <c:pt idx="0">
                  <c:v>1633</c:v>
                </c:pt>
                <c:pt idx="1">
                  <c:v>1428</c:v>
                </c:pt>
                <c:pt idx="2">
                  <c:v>1235</c:v>
                </c:pt>
                <c:pt idx="3">
                  <c:v>1147</c:v>
                </c:pt>
                <c:pt idx="4">
                  <c:v>1068</c:v>
                </c:pt>
                <c:pt idx="5">
                  <c:v>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4-4CE2-BAF9-B12DFBF1F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927567"/>
        <c:axId val="1028925487"/>
      </c:barChart>
      <c:catAx>
        <c:axId val="1028927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25487"/>
        <c:crosses val="autoZero"/>
        <c:auto val="1"/>
        <c:lblAlgn val="ctr"/>
        <c:lblOffset val="100"/>
        <c:noMultiLvlLbl val="0"/>
      </c:catAx>
      <c:valAx>
        <c:axId val="1028925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Total Count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2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2870360084296435"/>
          <c:y val="0.10674689693973877"/>
          <c:w val="0.16233869819683361"/>
          <c:h val="0.1122696474764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209315</xdr:colOff>
      <xdr:row>0</xdr:row>
      <xdr:rowOff>129540</xdr:rowOff>
    </xdr:from>
    <xdr:to>
      <xdr:col>30</xdr:col>
      <xdr:colOff>181093</xdr:colOff>
      <xdr:row>6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43292FB-187C-4D27-988A-96E38FF6838C}"/>
            </a:ext>
          </a:extLst>
        </xdr:cNvPr>
        <xdr:cNvSpPr/>
      </xdr:nvSpPr>
      <xdr:spPr>
        <a:xfrm>
          <a:off x="1436982" y="129540"/>
          <a:ext cx="17159111" cy="106426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>
              <a:solidFill>
                <a:schemeClr val="tx1"/>
              </a:solidFill>
            </a:rPr>
            <a:t>UK Public Health Initiative: Mental Wellbeing Campaign Performance</a:t>
          </a:r>
        </a:p>
        <a:p>
          <a:pPr algn="ctr"/>
          <a:r>
            <a:rPr lang="en-US" sz="2400">
              <a:solidFill>
                <a:schemeClr val="tx1"/>
              </a:solidFill>
            </a:rPr>
            <a:t>City-Level Engagement and Appointment Completion Analysis</a:t>
          </a:r>
          <a:endParaRPr 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173094</xdr:colOff>
      <xdr:row>9</xdr:row>
      <xdr:rowOff>8467</xdr:rowOff>
    </xdr:from>
    <xdr:to>
      <xdr:col>10</xdr:col>
      <xdr:colOff>159926</xdr:colOff>
      <xdr:row>11</xdr:row>
      <xdr:rowOff>9408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E59F08-1839-4B95-981A-38ED4B0954B8}"/>
            </a:ext>
          </a:extLst>
        </xdr:cNvPr>
        <xdr:cNvSpPr txBox="1"/>
      </xdr:nvSpPr>
      <xdr:spPr>
        <a:xfrm>
          <a:off x="3230501" y="1617134"/>
          <a:ext cx="3044240" cy="3584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Birmingham Leads In campain reach</a:t>
          </a:r>
        </a:p>
      </xdr:txBody>
    </xdr:sp>
    <xdr:clientData/>
  </xdr:twoCellAnchor>
  <xdr:twoCellAnchor>
    <xdr:from>
      <xdr:col>2</xdr:col>
      <xdr:colOff>172720</xdr:colOff>
      <xdr:row>8</xdr:row>
      <xdr:rowOff>22860</xdr:rowOff>
    </xdr:from>
    <xdr:to>
      <xdr:col>30</xdr:col>
      <xdr:colOff>208375</xdr:colOff>
      <xdr:row>56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0C77280-CDB9-43ED-869D-7B567CB7C877}"/>
            </a:ext>
          </a:extLst>
        </xdr:cNvPr>
        <xdr:cNvSpPr/>
      </xdr:nvSpPr>
      <xdr:spPr>
        <a:xfrm>
          <a:off x="1400387" y="1462193"/>
          <a:ext cx="17222988" cy="8689340"/>
        </a:xfrm>
        <a:prstGeom prst="flowChartProcess">
          <a:avLst/>
        </a:prstGeom>
        <a:ln>
          <a:solidFill>
            <a:schemeClr val="bg1">
              <a:lumMod val="95000"/>
            </a:schemeClr>
          </a:solidFill>
        </a:ln>
        <a:effectLst>
          <a:innerShdw blurRad="114300">
            <a:prstClr val="black"/>
          </a:innerShdw>
          <a:softEdge rad="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593369</xdr:colOff>
      <xdr:row>33</xdr:row>
      <xdr:rowOff>156162</xdr:rowOff>
    </xdr:from>
    <xdr:to>
      <xdr:col>14</xdr:col>
      <xdr:colOff>265524</xdr:colOff>
      <xdr:row>35</xdr:row>
      <xdr:rowOff>164629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82D1C13-98D0-4B51-AE91-1FFE110905F0}"/>
            </a:ext>
          </a:extLst>
        </xdr:cNvPr>
        <xdr:cNvSpPr txBox="1"/>
      </xdr:nvSpPr>
      <xdr:spPr>
        <a:xfrm>
          <a:off x="3662536" y="6093412"/>
          <a:ext cx="5196655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Birmingham and Manchester See Highest Appointment Completion</a:t>
          </a:r>
        </a:p>
      </xdr:txBody>
    </xdr:sp>
    <xdr:clientData/>
  </xdr:twoCellAnchor>
  <xdr:twoCellAnchor>
    <xdr:from>
      <xdr:col>6</xdr:col>
      <xdr:colOff>377470</xdr:colOff>
      <xdr:row>11</xdr:row>
      <xdr:rowOff>67734</xdr:rowOff>
    </xdr:from>
    <xdr:to>
      <xdr:col>12</xdr:col>
      <xdr:colOff>294217</xdr:colOff>
      <xdr:row>13</xdr:row>
      <xdr:rowOff>39747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5E5EAB6-F0E4-4D7E-8DD8-446DFE6A4E42}"/>
            </a:ext>
          </a:extLst>
        </xdr:cNvPr>
        <xdr:cNvSpPr txBox="1"/>
      </xdr:nvSpPr>
      <xdr:spPr>
        <a:xfrm>
          <a:off x="4060470" y="2046817"/>
          <a:ext cx="3599747" cy="3318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Birmingham Leads</a:t>
          </a:r>
          <a:r>
            <a:rPr lang="en-US" sz="1400" b="1" baseline="0"/>
            <a:t> in Campaign Reach</a:t>
          </a:r>
          <a:endParaRPr lang="en-US" sz="1400" b="1"/>
        </a:p>
      </xdr:txBody>
    </xdr:sp>
    <xdr:clientData/>
  </xdr:twoCellAnchor>
  <xdr:twoCellAnchor>
    <xdr:from>
      <xdr:col>20</xdr:col>
      <xdr:colOff>4934</xdr:colOff>
      <xdr:row>33</xdr:row>
      <xdr:rowOff>55034</xdr:rowOff>
    </xdr:from>
    <xdr:to>
      <xdr:col>27</xdr:col>
      <xdr:colOff>218016</xdr:colOff>
      <xdr:row>35</xdr:row>
      <xdr:rowOff>65382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F1B7F3F-8DA4-4256-A050-1E19FCAD4939}"/>
            </a:ext>
          </a:extLst>
        </xdr:cNvPr>
        <xdr:cNvSpPr txBox="1"/>
      </xdr:nvSpPr>
      <xdr:spPr>
        <a:xfrm>
          <a:off x="12281601" y="5992284"/>
          <a:ext cx="4509915" cy="370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rgbClr val="C00000"/>
              </a:solidFill>
            </a:rPr>
            <a:t>RED FLAG: Glasgow Records Highest Dropout Rate</a:t>
          </a:r>
          <a:r>
            <a:rPr lang="en-US" sz="1400" b="1" baseline="0">
              <a:solidFill>
                <a:srgbClr val="C00000"/>
              </a:solidFill>
            </a:rPr>
            <a:t> at 42%</a:t>
          </a:r>
          <a:endParaRPr lang="en-US" sz="1400" b="1">
            <a:solidFill>
              <a:srgbClr val="C00000"/>
            </a:solidFill>
          </a:endParaRPr>
        </a:p>
      </xdr:txBody>
    </xdr:sp>
    <xdr:clientData/>
  </xdr:twoCellAnchor>
  <xdr:twoCellAnchor>
    <xdr:from>
      <xdr:col>19</xdr:col>
      <xdr:colOff>282927</xdr:colOff>
      <xdr:row>11</xdr:row>
      <xdr:rowOff>144639</xdr:rowOff>
    </xdr:from>
    <xdr:to>
      <xdr:col>26</xdr:col>
      <xdr:colOff>134291</xdr:colOff>
      <xdr:row>13</xdr:row>
      <xdr:rowOff>145580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5D548F1-A726-4E7E-85D7-E2F83699B3FB}"/>
            </a:ext>
          </a:extLst>
        </xdr:cNvPr>
        <xdr:cNvSpPr txBox="1"/>
      </xdr:nvSpPr>
      <xdr:spPr>
        <a:xfrm>
          <a:off x="11945760" y="2123722"/>
          <a:ext cx="4148198" cy="360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Young</a:t>
          </a:r>
          <a:r>
            <a:rPr lang="en-US" sz="1400" b="1" baseline="0"/>
            <a:t> Adults (25-34) Show Highest Engagement</a:t>
          </a:r>
          <a:endParaRPr lang="en-US" sz="1400" b="1"/>
        </a:p>
      </xdr:txBody>
    </xdr:sp>
    <xdr:clientData/>
  </xdr:twoCellAnchor>
  <xdr:twoCellAnchor>
    <xdr:from>
      <xdr:col>3</xdr:col>
      <xdr:colOff>199907</xdr:colOff>
      <xdr:row>9</xdr:row>
      <xdr:rowOff>74084</xdr:rowOff>
    </xdr:from>
    <xdr:to>
      <xdr:col>16</xdr:col>
      <xdr:colOff>11759</xdr:colOff>
      <xdr:row>29</xdr:row>
      <xdr:rowOff>152401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B5AEED-A935-4029-B6A4-C2D448393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406871</xdr:colOff>
      <xdr:row>9</xdr:row>
      <xdr:rowOff>105834</xdr:rowOff>
    </xdr:from>
    <xdr:to>
      <xdr:col>29</xdr:col>
      <xdr:colOff>241300</xdr:colOff>
      <xdr:row>29</xdr:row>
      <xdr:rowOff>177799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A97B5F-5EE2-4C92-AD26-AE891CFA7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522817</xdr:colOff>
      <xdr:row>31</xdr:row>
      <xdr:rowOff>42334</xdr:rowOff>
    </xdr:from>
    <xdr:to>
      <xdr:col>29</xdr:col>
      <xdr:colOff>408516</xdr:colOff>
      <xdr:row>54</xdr:row>
      <xdr:rowOff>152401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BB4082-2708-4313-B826-5143CD119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256352</xdr:colOff>
      <xdr:row>31</xdr:row>
      <xdr:rowOff>63500</xdr:rowOff>
    </xdr:from>
    <xdr:to>
      <xdr:col>17</xdr:col>
      <xdr:colOff>228599</xdr:colOff>
      <xdr:row>54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5258CF-E6D5-49B3-B4DA-9FA97DA2D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BOWEN" refreshedDate="46099.57907083333" createdVersion="7" refreshedVersion="7" minRefreshableVersion="3" recordCount="6" xr:uid="{37AFAEAB-61E5-4D8B-ADE6-42A885B3854B}">
  <cacheSource type="worksheet">
    <worksheetSource ref="A1:D7" sheet="campaign_engagement"/>
  </cacheSource>
  <cacheFields count="4">
    <cacheField name="City" numFmtId="0">
      <sharedItems count="6">
        <s v="Manchester"/>
        <s v="Bristol"/>
        <s v="Leeds"/>
        <s v="Glasgow"/>
        <s v="Liverpool"/>
        <s v="Birmingham"/>
      </sharedItems>
    </cacheField>
    <cacheField name="Reach" numFmtId="0">
      <sharedItems containsSemiMixedTypes="0" containsString="0" containsNumber="1" containsInteger="1" minValue="2750" maxValue="3600"/>
    </cacheField>
    <cacheField name="Registrations" numFmtId="0">
      <sharedItems containsSemiMixedTypes="0" containsString="0" containsNumber="1" containsInteger="1" minValue="1600" maxValue="2300"/>
    </cacheField>
    <cacheField name="Completion Rate (%)" numFmtId="0">
      <sharedItems containsSemiMixedTypes="0" containsString="0" containsNumber="1" containsInteger="1" minValue="58" maxValue="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BOWEN" refreshedDate="46099.582931365738" createdVersion="7" refreshedVersion="7" minRefreshableVersion="3" recordCount="6" xr:uid="{96188050-6D86-4758-9997-C09B9BB789EE}">
  <cacheSource type="worksheet">
    <worksheetSource ref="A1:C7" sheet="audience_by_age"/>
  </cacheSource>
  <cacheFields count="3">
    <cacheField name="Age Group" numFmtId="0">
      <sharedItems count="6">
        <s v="18-24"/>
        <s v="25-34"/>
        <s v="35-44"/>
        <s v="45-54"/>
        <s v="55-64"/>
        <s v="65+"/>
      </sharedItems>
    </cacheField>
    <cacheField name="Registrations" numFmtId="0">
      <sharedItems containsSemiMixedTypes="0" containsString="0" containsNumber="1" containsInteger="1" minValue="400" maxValue="1450"/>
    </cacheField>
    <cacheField name="Completion Rate (%)" numFmtId="0">
      <sharedItems containsSemiMixedTypes="0" containsString="0" containsNumber="1" containsInteger="1" minValue="49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BOWEN" refreshedDate="46099.587007638889" createdVersion="7" refreshedVersion="7" minRefreshableVersion="3" recordCount="6" xr:uid="{7838A8E5-89C6-497E-8568-A513BE693659}">
  <cacheSource type="worksheet">
    <worksheetSource ref="A1:E7" sheet="dropout_analysis"/>
  </cacheSource>
  <cacheFields count="5">
    <cacheField name="City" numFmtId="0">
      <sharedItems count="6">
        <s v="Manchester"/>
        <s v="Bristol"/>
        <s v="Leeds"/>
        <s v="Glasgow"/>
        <s v="Liverpool"/>
        <s v="Birmingham"/>
      </sharedItems>
    </cacheField>
    <cacheField name="Registered" numFmtId="0">
      <sharedItems containsSemiMixedTypes="0" containsString="0" containsNumber="1" containsInteger="1" minValue="1600" maxValue="2300"/>
    </cacheField>
    <cacheField name="Completed" numFmtId="0">
      <sharedItems containsSemiMixedTypes="0" containsString="0" containsNumber="1" containsInteger="1" minValue="928" maxValue="1633"/>
    </cacheField>
    <cacheField name="Dropouts" numFmtId="0">
      <sharedItems containsSemiMixedTypes="0" containsString="0" containsNumber="1" containsInteger="1" minValue="665" maxValue="703"/>
    </cacheField>
    <cacheField name="Dropout Rate (%)" numFmtId="0">
      <sharedItems containsSemiMixedTypes="0" containsString="0" containsNumber="1" containsInteger="1" minValue="29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400"/>
    <n v="2100"/>
    <n v="68"/>
  </r>
  <r>
    <x v="1"/>
    <n v="2900"/>
    <n v="1750"/>
    <n v="61"/>
  </r>
  <r>
    <x v="2"/>
    <n v="3200"/>
    <n v="1900"/>
    <n v="65"/>
  </r>
  <r>
    <x v="3"/>
    <n v="2750"/>
    <n v="1600"/>
    <n v="58"/>
  </r>
  <r>
    <x v="4"/>
    <n v="3100"/>
    <n v="1850"/>
    <n v="62"/>
  </r>
  <r>
    <x v="5"/>
    <n v="3600"/>
    <n v="2300"/>
    <n v="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200"/>
    <n v="60"/>
  </r>
  <r>
    <x v="1"/>
    <n v="1450"/>
    <n v="72"/>
  </r>
  <r>
    <x v="2"/>
    <n v="1100"/>
    <n v="66"/>
  </r>
  <r>
    <x v="3"/>
    <n v="950"/>
    <n v="58"/>
  </r>
  <r>
    <x v="4"/>
    <n v="600"/>
    <n v="52"/>
  </r>
  <r>
    <x v="5"/>
    <n v="400"/>
    <n v="4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100"/>
    <n v="1428"/>
    <n v="672"/>
    <n v="32"/>
  </r>
  <r>
    <x v="1"/>
    <n v="1750"/>
    <n v="1068"/>
    <n v="682"/>
    <n v="39"/>
  </r>
  <r>
    <x v="2"/>
    <n v="1900"/>
    <n v="1235"/>
    <n v="665"/>
    <n v="35"/>
  </r>
  <r>
    <x v="3"/>
    <n v="1600"/>
    <n v="928"/>
    <n v="672"/>
    <n v="42"/>
  </r>
  <r>
    <x v="4"/>
    <n v="1850"/>
    <n v="1147"/>
    <n v="703"/>
    <n v="38"/>
  </r>
  <r>
    <x v="5"/>
    <n v="2300"/>
    <n v="1633"/>
    <n v="667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F1DDA-753D-42FC-8C8E-94D7C7C51F62}" name="PivotTable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7:B24" firstHeaderRow="1" firstDataRow="1" firstDataCol="1"/>
  <pivotFields count="5">
    <pivotField axis="axisRow" showAll="0" sortType="descending">
      <items count="7">
        <item x="5"/>
        <item x="1"/>
        <item x="3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0"/>
  </rowFields>
  <rowItems count="7">
    <i>
      <x v="2"/>
    </i>
    <i>
      <x v="1"/>
    </i>
    <i>
      <x v="4"/>
    </i>
    <i>
      <x v="3"/>
    </i>
    <i>
      <x v="5"/>
    </i>
    <i>
      <x/>
    </i>
    <i t="grand">
      <x/>
    </i>
  </rowItems>
  <colItems count="1">
    <i/>
  </colItems>
  <dataFields count="1">
    <dataField name="Sum of Dropout Rate (%)" fld="4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DAE66-15A8-4365-8B02-066796BFCCE3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F4:G11" firstHeaderRow="1" firstDataRow="1" firstDataCol="1"/>
  <pivotFields count="3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7">
    <i>
      <x v="1"/>
    </i>
    <i>
      <x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gistrations" fld="1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C215E-7A87-4ABE-8ECC-2E287B66DF51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4:B11" firstHeaderRow="1" firstDataRow="1" firstDataCol="1"/>
  <pivotFields count="4">
    <pivotField axis="axisRow" showAll="0" sortType="descending">
      <items count="7">
        <item x="5"/>
        <item x="1"/>
        <item x="3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0"/>
  </rowFields>
  <rowItems count="7">
    <i>
      <x/>
    </i>
    <i>
      <x v="5"/>
    </i>
    <i>
      <x v="3"/>
    </i>
    <i>
      <x v="4"/>
    </i>
    <i>
      <x v="1"/>
    </i>
    <i>
      <x v="2"/>
    </i>
    <i t="grand">
      <x/>
    </i>
  </rowItems>
  <colItems count="1">
    <i/>
  </colItems>
  <dataFields count="1">
    <dataField name="Sum of Reach" fld="1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57C8A-093A-4C10-96F9-BFC99423F654}" name="PivotTable7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F17:H24" firstHeaderRow="0" firstDataRow="1" firstDataCol="1"/>
  <pivotFields count="5">
    <pivotField axis="axisRow" showAll="0" sortType="descending">
      <items count="7">
        <item x="5"/>
        <item x="1"/>
        <item x="3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  <pivotField showAll="0"/>
    <pivotField showAll="0"/>
  </pivotFields>
  <rowFields count="1">
    <field x="0"/>
  </rowFields>
  <rowItems count="7">
    <i>
      <x/>
    </i>
    <i>
      <x v="5"/>
    </i>
    <i>
      <x v="3"/>
    </i>
    <i>
      <x v="4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gistered" fld="1" baseField="0" baseItem="0"/>
    <dataField name="Sum of Completed" fld="2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C25" sqref="C25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17" sqref="C17"/>
    </sheetView>
  </sheetViews>
  <sheetFormatPr defaultRowHeight="14.4" x14ac:dyDescent="0.3"/>
  <cols>
    <col min="1" max="1" width="10.6640625" bestFit="1" customWidth="1"/>
    <col min="2" max="2" width="6" bestFit="1" customWidth="1"/>
    <col min="3" max="3" width="11.5546875" bestFit="1" customWidth="1"/>
    <col min="4" max="4" width="17.88671875" bestFit="1" customWidth="1"/>
  </cols>
  <sheetData>
    <row r="1" spans="1:4" s="1" customFormat="1" x14ac:dyDescent="0.3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3">
      <c r="A2" t="s">
        <v>25</v>
      </c>
      <c r="B2">
        <v>3400</v>
      </c>
      <c r="C2">
        <v>2100</v>
      </c>
      <c r="D2">
        <v>68</v>
      </c>
    </row>
    <row r="3" spans="1:4" x14ac:dyDescent="0.3">
      <c r="A3" t="s">
        <v>26</v>
      </c>
      <c r="B3">
        <v>2900</v>
      </c>
      <c r="C3">
        <v>1750</v>
      </c>
      <c r="D3">
        <v>61</v>
      </c>
    </row>
    <row r="4" spans="1:4" x14ac:dyDescent="0.3">
      <c r="A4" t="s">
        <v>27</v>
      </c>
      <c r="B4">
        <v>3200</v>
      </c>
      <c r="C4">
        <v>1900</v>
      </c>
      <c r="D4">
        <v>65</v>
      </c>
    </row>
    <row r="5" spans="1:4" x14ac:dyDescent="0.3">
      <c r="A5" t="s">
        <v>28</v>
      </c>
      <c r="B5">
        <v>2750</v>
      </c>
      <c r="C5">
        <v>1600</v>
      </c>
      <c r="D5">
        <v>58</v>
      </c>
    </row>
    <row r="6" spans="1:4" x14ac:dyDescent="0.3">
      <c r="A6" t="s">
        <v>29</v>
      </c>
      <c r="B6">
        <v>3100</v>
      </c>
      <c r="C6">
        <v>1850</v>
      </c>
      <c r="D6">
        <v>62</v>
      </c>
    </row>
    <row r="7" spans="1:4" x14ac:dyDescent="0.3">
      <c r="A7" t="s">
        <v>30</v>
      </c>
      <c r="B7">
        <v>3600</v>
      </c>
      <c r="C7">
        <v>2300</v>
      </c>
      <c r="D7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21" sqref="C21"/>
    </sheetView>
  </sheetViews>
  <sheetFormatPr defaultRowHeight="14.4" x14ac:dyDescent="0.3"/>
  <cols>
    <col min="1" max="1" width="9.44140625" bestFit="1" customWidth="1"/>
    <col min="2" max="2" width="11.5546875" bestFit="1" customWidth="1"/>
    <col min="3" max="3" width="17.88671875" bestFit="1" customWidth="1"/>
  </cols>
  <sheetData>
    <row r="1" spans="1:3" s="1" customFormat="1" x14ac:dyDescent="0.3">
      <c r="A1" s="1" t="s">
        <v>31</v>
      </c>
      <c r="B1" s="1" t="s">
        <v>23</v>
      </c>
      <c r="C1" s="1" t="s">
        <v>24</v>
      </c>
    </row>
    <row r="2" spans="1:3" x14ac:dyDescent="0.3">
      <c r="A2" t="s">
        <v>32</v>
      </c>
      <c r="B2">
        <v>1200</v>
      </c>
      <c r="C2">
        <v>60</v>
      </c>
    </row>
    <row r="3" spans="1:3" x14ac:dyDescent="0.3">
      <c r="A3" t="s">
        <v>33</v>
      </c>
      <c r="B3">
        <v>1450</v>
      </c>
      <c r="C3">
        <v>72</v>
      </c>
    </row>
    <row r="4" spans="1:3" x14ac:dyDescent="0.3">
      <c r="A4" t="s">
        <v>34</v>
      </c>
      <c r="B4">
        <v>1100</v>
      </c>
      <c r="C4">
        <v>66</v>
      </c>
    </row>
    <row r="5" spans="1:3" x14ac:dyDescent="0.3">
      <c r="A5" t="s">
        <v>35</v>
      </c>
      <c r="B5">
        <v>950</v>
      </c>
      <c r="C5">
        <v>58</v>
      </c>
    </row>
    <row r="6" spans="1:3" x14ac:dyDescent="0.3">
      <c r="A6" t="s">
        <v>36</v>
      </c>
      <c r="B6">
        <v>600</v>
      </c>
      <c r="C6">
        <v>52</v>
      </c>
    </row>
    <row r="7" spans="1:3" x14ac:dyDescent="0.3">
      <c r="A7" t="s">
        <v>37</v>
      </c>
      <c r="B7">
        <v>400</v>
      </c>
      <c r="C7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14" sqref="E14"/>
    </sheetView>
  </sheetViews>
  <sheetFormatPr defaultRowHeight="14.4" x14ac:dyDescent="0.3"/>
  <cols>
    <col min="1" max="1" width="10.6640625" bestFit="1" customWidth="1"/>
    <col min="2" max="2" width="9.5546875" bestFit="1" customWidth="1"/>
    <col min="3" max="3" width="9.88671875" bestFit="1" customWidth="1"/>
    <col min="4" max="4" width="8.5546875" bestFit="1" customWidth="1"/>
    <col min="5" max="5" width="15.109375" bestFit="1" customWidth="1"/>
  </cols>
  <sheetData>
    <row r="1" spans="1:5" s="1" customFormat="1" x14ac:dyDescent="0.3">
      <c r="A1" s="1" t="s">
        <v>21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3">
      <c r="A2" t="s">
        <v>25</v>
      </c>
      <c r="B2">
        <v>2100</v>
      </c>
      <c r="C2">
        <v>1428</v>
      </c>
      <c r="D2">
        <v>672</v>
      </c>
      <c r="E2">
        <v>32</v>
      </c>
    </row>
    <row r="3" spans="1:5" x14ac:dyDescent="0.3">
      <c r="A3" t="s">
        <v>26</v>
      </c>
      <c r="B3">
        <v>1750</v>
      </c>
      <c r="C3">
        <v>1068</v>
      </c>
      <c r="D3">
        <v>682</v>
      </c>
      <c r="E3">
        <v>39</v>
      </c>
    </row>
    <row r="4" spans="1:5" x14ac:dyDescent="0.3">
      <c r="A4" t="s">
        <v>27</v>
      </c>
      <c r="B4">
        <v>1900</v>
      </c>
      <c r="C4">
        <v>1235</v>
      </c>
      <c r="D4">
        <v>665</v>
      </c>
      <c r="E4">
        <v>35</v>
      </c>
    </row>
    <row r="5" spans="1:5" x14ac:dyDescent="0.3">
      <c r="A5" t="s">
        <v>28</v>
      </c>
      <c r="B5">
        <v>1600</v>
      </c>
      <c r="C5">
        <v>928</v>
      </c>
      <c r="D5">
        <v>672</v>
      </c>
      <c r="E5">
        <v>42</v>
      </c>
    </row>
    <row r="6" spans="1:5" x14ac:dyDescent="0.3">
      <c r="A6" t="s">
        <v>29</v>
      </c>
      <c r="B6">
        <v>1850</v>
      </c>
      <c r="C6">
        <v>1147</v>
      </c>
      <c r="D6">
        <v>703</v>
      </c>
      <c r="E6">
        <v>38</v>
      </c>
    </row>
    <row r="7" spans="1:5" x14ac:dyDescent="0.3">
      <c r="A7" t="s">
        <v>30</v>
      </c>
      <c r="B7">
        <v>2300</v>
      </c>
      <c r="C7">
        <v>1633</v>
      </c>
      <c r="D7">
        <v>667</v>
      </c>
      <c r="E7">
        <v>29</v>
      </c>
    </row>
  </sheetData>
  <pageMargins left="0.75" right="0.75" top="1" bottom="1" header="0.5" footer="0.5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C0D8-34BA-44ED-B4B9-4CBDF5156311}">
  <dimension ref="A1"/>
  <sheetViews>
    <sheetView tabSelected="1" topLeftCell="A5" zoomScale="72" zoomScaleNormal="72" workbookViewId="0">
      <selection sqref="A1:XFD1048576"/>
    </sheetView>
  </sheetViews>
  <sheetFormatPr defaultRowHeight="14.4" x14ac:dyDescent="0.3"/>
  <cols>
    <col min="1" max="16384" width="8.88671875" style="5"/>
  </cols>
  <sheetData/>
  <mergeCells count="1">
    <mergeCell ref="A1:XFD104857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E022-DA0D-4E20-A78B-12B9C7D8FFA4}">
  <dimension ref="A4:H24"/>
  <sheetViews>
    <sheetView workbookViewId="0">
      <selection activeCell="H18" sqref="H18"/>
    </sheetView>
  </sheetViews>
  <sheetFormatPr defaultRowHeight="14.4" x14ac:dyDescent="0.3"/>
  <cols>
    <col min="1" max="1" width="12.5546875" bestFit="1" customWidth="1"/>
    <col min="2" max="2" width="21.6640625" customWidth="1"/>
    <col min="5" max="6" width="12.5546875" bestFit="1" customWidth="1"/>
    <col min="7" max="7" width="16.33203125" bestFit="1" customWidth="1"/>
    <col min="8" max="8" width="16.77734375" bestFit="1" customWidth="1"/>
    <col min="9" max="9" width="15.33203125" bestFit="1" customWidth="1"/>
    <col min="10" max="11" width="22.21875" bestFit="1" customWidth="1"/>
  </cols>
  <sheetData>
    <row r="4" spans="1:7" x14ac:dyDescent="0.3">
      <c r="A4" s="2" t="s">
        <v>42</v>
      </c>
      <c r="B4" t="s">
        <v>44</v>
      </c>
      <c r="F4" s="2" t="s">
        <v>42</v>
      </c>
      <c r="G4" t="s">
        <v>45</v>
      </c>
    </row>
    <row r="5" spans="1:7" x14ac:dyDescent="0.3">
      <c r="A5" s="3" t="s">
        <v>30</v>
      </c>
      <c r="B5" s="4">
        <v>3600</v>
      </c>
      <c r="F5" s="3" t="s">
        <v>33</v>
      </c>
      <c r="G5" s="4">
        <v>1450</v>
      </c>
    </row>
    <row r="6" spans="1:7" x14ac:dyDescent="0.3">
      <c r="A6" s="3" t="s">
        <v>25</v>
      </c>
      <c r="B6" s="4">
        <v>3400</v>
      </c>
      <c r="F6" s="3" t="s">
        <v>32</v>
      </c>
      <c r="G6" s="4">
        <v>1200</v>
      </c>
    </row>
    <row r="7" spans="1:7" x14ac:dyDescent="0.3">
      <c r="A7" s="3" t="s">
        <v>27</v>
      </c>
      <c r="B7" s="4">
        <v>3200</v>
      </c>
      <c r="F7" s="3" t="s">
        <v>34</v>
      </c>
      <c r="G7" s="4">
        <v>1100</v>
      </c>
    </row>
    <row r="8" spans="1:7" x14ac:dyDescent="0.3">
      <c r="A8" s="3" t="s">
        <v>29</v>
      </c>
      <c r="B8" s="4">
        <v>3100</v>
      </c>
      <c r="F8" s="3" t="s">
        <v>35</v>
      </c>
      <c r="G8" s="4">
        <v>950</v>
      </c>
    </row>
    <row r="9" spans="1:7" x14ac:dyDescent="0.3">
      <c r="A9" s="3" t="s">
        <v>26</v>
      </c>
      <c r="B9" s="4">
        <v>2900</v>
      </c>
      <c r="F9" s="3" t="s">
        <v>36</v>
      </c>
      <c r="G9" s="4">
        <v>600</v>
      </c>
    </row>
    <row r="10" spans="1:7" x14ac:dyDescent="0.3">
      <c r="A10" s="3" t="s">
        <v>28</v>
      </c>
      <c r="B10" s="4">
        <v>2750</v>
      </c>
      <c r="F10" s="3" t="s">
        <v>37</v>
      </c>
      <c r="G10" s="4">
        <v>400</v>
      </c>
    </row>
    <row r="11" spans="1:7" x14ac:dyDescent="0.3">
      <c r="A11" s="3" t="s">
        <v>43</v>
      </c>
      <c r="B11" s="4">
        <v>18950</v>
      </c>
      <c r="F11" s="3" t="s">
        <v>43</v>
      </c>
      <c r="G11" s="4">
        <v>5700</v>
      </c>
    </row>
    <row r="17" spans="1:8" x14ac:dyDescent="0.3">
      <c r="A17" s="2" t="s">
        <v>42</v>
      </c>
      <c r="B17" t="s">
        <v>46</v>
      </c>
      <c r="F17" s="2" t="s">
        <v>42</v>
      </c>
      <c r="G17" t="s">
        <v>47</v>
      </c>
      <c r="H17" t="s">
        <v>48</v>
      </c>
    </row>
    <row r="18" spans="1:8" x14ac:dyDescent="0.3">
      <c r="A18" s="3" t="s">
        <v>28</v>
      </c>
      <c r="B18" s="4">
        <v>42</v>
      </c>
      <c r="F18" s="3" t="s">
        <v>30</v>
      </c>
      <c r="G18" s="4">
        <v>2300</v>
      </c>
      <c r="H18" s="4">
        <v>1633</v>
      </c>
    </row>
    <row r="19" spans="1:8" x14ac:dyDescent="0.3">
      <c r="A19" s="3" t="s">
        <v>26</v>
      </c>
      <c r="B19" s="4">
        <v>39</v>
      </c>
      <c r="F19" s="3" t="s">
        <v>25</v>
      </c>
      <c r="G19" s="4">
        <v>2100</v>
      </c>
      <c r="H19" s="4">
        <v>1428</v>
      </c>
    </row>
    <row r="20" spans="1:8" x14ac:dyDescent="0.3">
      <c r="A20" s="3" t="s">
        <v>29</v>
      </c>
      <c r="B20" s="4">
        <v>38</v>
      </c>
      <c r="F20" s="3" t="s">
        <v>27</v>
      </c>
      <c r="G20" s="4">
        <v>1900</v>
      </c>
      <c r="H20" s="4">
        <v>1235</v>
      </c>
    </row>
    <row r="21" spans="1:8" x14ac:dyDescent="0.3">
      <c r="A21" s="3" t="s">
        <v>27</v>
      </c>
      <c r="B21" s="4">
        <v>35</v>
      </c>
      <c r="F21" s="3" t="s">
        <v>29</v>
      </c>
      <c r="G21" s="4">
        <v>1850</v>
      </c>
      <c r="H21" s="4">
        <v>1147</v>
      </c>
    </row>
    <row r="22" spans="1:8" x14ac:dyDescent="0.3">
      <c r="A22" s="3" t="s">
        <v>25</v>
      </c>
      <c r="B22" s="4">
        <v>32</v>
      </c>
      <c r="F22" s="3" t="s">
        <v>26</v>
      </c>
      <c r="G22" s="4">
        <v>1750</v>
      </c>
      <c r="H22" s="4">
        <v>1068</v>
      </c>
    </row>
    <row r="23" spans="1:8" x14ac:dyDescent="0.3">
      <c r="A23" s="3" t="s">
        <v>30</v>
      </c>
      <c r="B23" s="4">
        <v>29</v>
      </c>
      <c r="F23" s="3" t="s">
        <v>28</v>
      </c>
      <c r="G23" s="4">
        <v>1600</v>
      </c>
      <c r="H23" s="4">
        <v>928</v>
      </c>
    </row>
    <row r="24" spans="1:8" x14ac:dyDescent="0.3">
      <c r="A24" s="3" t="s">
        <v>43</v>
      </c>
      <c r="B24" s="4">
        <v>215</v>
      </c>
      <c r="F24" s="3" t="s">
        <v>43</v>
      </c>
      <c r="G24" s="4">
        <v>11500</v>
      </c>
      <c r="H24" s="4">
        <v>7439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campaign_engagement</vt:lpstr>
      <vt:lpstr>audience_by_age</vt:lpstr>
      <vt:lpstr>dropout_analysis</vt:lpstr>
      <vt:lpstr>Dashboard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2025-07-20T11:49:18Z</dcterms:created>
  <dcterms:modified xsi:type="dcterms:W3CDTF">2026-03-18T12:19:19Z</dcterms:modified>
</cp:coreProperties>
</file>