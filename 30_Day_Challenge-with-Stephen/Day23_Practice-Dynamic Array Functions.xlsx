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5" documentId="11_69732007AAEBCD534CC98F9EE7DAB65EC6AE4A15" xr6:coauthVersionLast="47" xr6:coauthVersionMax="47" xr10:uidLastSave="{780185D4-BD0F-4A7B-A0B6-E4065440D5E4}"/>
  <bookViews>
    <workbookView xWindow="-108" yWindow="-108" windowWidth="23256" windowHeight="12720" activeTab="1" xr2:uid="{00000000-000D-0000-FFFF-FFFF00000000}"/>
  </bookViews>
  <sheets>
    <sheet name="instructions" sheetId="1" r:id="rId1"/>
    <sheet name="shelter_data" sheetId="2" r:id="rId2"/>
    <sheet name="Solutions" sheetId="4" r:id="rId3"/>
    <sheet name="Changes - 202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4" l="1" a="1"/>
  <c r="J19" i="4" s="1"/>
  <c r="K19" i="4" s="1" a="1"/>
  <c r="K19" i="4" s="1"/>
  <c r="U2" i="4" a="1"/>
  <c r="U2" i="4" s="1"/>
  <c r="A19" i="4" a="1"/>
  <c r="A19" i="4" s="1"/>
  <c r="L2" i="4" a="1"/>
  <c r="L2" i="4" s="1"/>
  <c r="C2" i="4" a="1"/>
  <c r="C2" i="4" s="1"/>
  <c r="A2" i="4" a="1"/>
  <c r="A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<sst xmlns="http://schemas.openxmlformats.org/spreadsheetml/2006/main" count="2028" uniqueCount="449">
  <si>
    <t>🐾 Welcome to Day 23 – Dynamic Array Practice: Animal Shelter Edition</t>
  </si>
  <si>
    <t>📌 Scenario:</t>
  </si>
  <si>
    <t>You're helping an animal shelter in Canada analyze their adoption data.</t>
  </si>
  <si>
    <t>They want insights like common breeds, top-paying adopters, and more.</t>
  </si>
  <si>
    <t>🧪 Tasks:</t>
  </si>
  <si>
    <t>1. List all unique animal types that were adopted.</t>
  </si>
  <si>
    <t>2. Show the top 10 most expensive adoptions.</t>
  </si>
  <si>
    <t>3. Filter for adoptions made in 'Toronto' using Credit Card.</t>
  </si>
  <si>
    <t>4. Return the 15 most recent adoptions.</t>
  </si>
  <si>
    <t>5. Extract only 'Animal Type' and 'Adoption Fee' columns.</t>
  </si>
  <si>
    <t>6. Bonus: Use TAKE, DROP, CHOOSECOLS, CHOOSEROWS to create your own insights.</t>
  </si>
  <si>
    <t>✅ Try practicing: UNIQUE, SORTBY, FILTER, TAKE, DROP, CHOOSECOLS, etc.</t>
  </si>
  <si>
    <t>Head to the 'shelter_data' tab to get started!</t>
  </si>
  <si>
    <t>Adoption ID</t>
  </si>
  <si>
    <t>Animal Type</t>
  </si>
  <si>
    <t>Breed</t>
  </si>
  <si>
    <t>Age (Years)</t>
  </si>
  <si>
    <t>Adoption Fee</t>
  </si>
  <si>
    <t>Adoption Date</t>
  </si>
  <si>
    <t>City</t>
  </si>
  <si>
    <t>Payment Method</t>
  </si>
  <si>
    <t>A0001</t>
  </si>
  <si>
    <t>Bird</t>
  </si>
  <si>
    <t>Holland Lop</t>
  </si>
  <si>
    <t>Toronto</t>
  </si>
  <si>
    <t>Online Transfer</t>
  </si>
  <si>
    <t>A0002</t>
  </si>
  <si>
    <t>Guinea Pig</t>
  </si>
  <si>
    <t>American</t>
  </si>
  <si>
    <t>Ottawa</t>
  </si>
  <si>
    <t>A0003</t>
  </si>
  <si>
    <t>Rabbit</t>
  </si>
  <si>
    <t>Persian</t>
  </si>
  <si>
    <t>Calgary</t>
  </si>
  <si>
    <t>A0004</t>
  </si>
  <si>
    <t>Labrador</t>
  </si>
  <si>
    <t>Debit</t>
  </si>
  <si>
    <t>A0005</t>
  </si>
  <si>
    <t>A0006</t>
  </si>
  <si>
    <t>Cat</t>
  </si>
  <si>
    <t>Cash</t>
  </si>
  <si>
    <t>A0007</t>
  </si>
  <si>
    <t>Cockatiel</t>
  </si>
  <si>
    <t>Credit Card</t>
  </si>
  <si>
    <t>A0008</t>
  </si>
  <si>
    <t>A0009</t>
  </si>
  <si>
    <t>Bulldog</t>
  </si>
  <si>
    <t>Montreal</t>
  </si>
  <si>
    <t>A0010</t>
  </si>
  <si>
    <t>A0011</t>
  </si>
  <si>
    <t>A0012</t>
  </si>
  <si>
    <t>Vancouver</t>
  </si>
  <si>
    <t>A0013</t>
  </si>
  <si>
    <t>A0014</t>
  </si>
  <si>
    <t>A0015</t>
  </si>
  <si>
    <t>A0016</t>
  </si>
  <si>
    <t>A0017</t>
  </si>
  <si>
    <t>Siamese</t>
  </si>
  <si>
    <t>A0018</t>
  </si>
  <si>
    <t>A0019</t>
  </si>
  <si>
    <t>Dog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</si>
  <si>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</si>
  <si>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</si>
  <si>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</si>
  <si>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</si>
  <si>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</si>
  <si>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</si>
  <si>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</si>
  <si>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</si>
  <si>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</si>
  <si>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</si>
  <si>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</si>
  <si>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</si>
  <si>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</si>
  <si>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</si>
  <si>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</si>
  <si>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</si>
  <si>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</si>
  <si>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</si>
  <si>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</si>
  <si>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</si>
  <si>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</si>
  <si>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</si>
  <si>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</si>
  <si>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</si>
  <si>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</si>
  <si>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</si>
  <si>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</si>
  <si>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</si>
  <si>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</si>
  <si>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</si>
  <si>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</si>
  <si>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</si>
  <si>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</si>
  <si>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</si>
  <si>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</si>
  <si>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</si>
  <si>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</si>
  <si>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</si>
  <si>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</si>
  <si>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</si>
  <si>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</si>
  <si>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</si>
  <si>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</si>
  <si>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</si>
  <si>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</si>
  <si>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</si>
  <si>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</si>
  <si>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</si>
  <si>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</si>
  <si>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</si>
  <si>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</si>
  <si>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</si>
  <si>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</si>
  <si>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</si>
  <si>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</si>
  <si>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</si>
  <si>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</si>
  <si>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</si>
  <si>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</si>
  <si>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</si>
  <si>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</si>
  <si>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</si>
  <si>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</si>
  <si>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</si>
  <si>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</si>
  <si>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</si>
  <si>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</si>
  <si>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</si>
  <si>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</si>
  <si>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</si>
  <si>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</si>
  <si>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</si>
  <si>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</si>
  <si>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</si>
  <si>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</si>
  <si>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</si>
  <si>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</si>
  <si>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</si>
  <si>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</si>
  <si>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</si>
  <si>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</si>
  <si>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</si>
  <si>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</si>
  <si>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</si>
  <si>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</si>
  <si>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</si>
  <si>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</si>
  <si>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</si>
  <si>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</si>
  <si>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</si>
  <si>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</si>
  <si>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</si>
  <si>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</si>
  <si>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</si>
  <si>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</si>
  <si>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</si>
  <si>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</si>
  <si>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</si>
  <si>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</si>
  <si>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</si>
  <si>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</si>
  <si>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</si>
  <si>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</si>
  <si>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</si>
  <si>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</si>
  <si>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</si>
  <si>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</si>
  <si>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</si>
  <si>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</si>
  <si>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</si>
  <si>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</si>
  <si>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</si>
  <si>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</si>
  <si>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</si>
  <si>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</si>
  <si>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</si>
  <si>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</si>
  <si>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</si>
  <si>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</si>
  <si>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</si>
  <si>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</si>
  <si>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</si>
  <si>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</si>
  <si>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</si>
  <si>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</si>
  <si>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</si>
  <si>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</si>
  <si>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</si>
  <si>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</si>
  <si>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</si>
  <si>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</si>
  <si>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</si>
  <si>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</si>
  <si>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</si>
  <si>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</si>
  <si>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</si>
  <si>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</si>
  <si>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</si>
  <si>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</si>
  <si>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</si>
  <si>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</si>
  <si>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</si>
  <si>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</si>
  <si>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</si>
  <si>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</si>
  <si>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</si>
  <si>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</si>
  <si>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</si>
  <si>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</si>
  <si>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</si>
  <si>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</si>
  <si>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</si>
  <si>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</si>
  <si>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</si>
  <si>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</si>
  <si>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</si>
  <si>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</si>
  <si>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</si>
  <si>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</si>
  <si>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</si>
  <si>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</si>
  <si>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</si>
  <si>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</si>
  <si>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</si>
  <si>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</si>
  <si>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</si>
  <si>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</si>
  <si>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</si>
  <si>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</si>
  <si>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</si>
  <si>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</si>
  <si>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</si>
  <si>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</si>
  <si>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</si>
  <si>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</si>
  <si>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</si>
  <si>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</si>
  <si>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</si>
  <si>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</si>
  <si>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</si>
  <si>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</si>
  <si>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</si>
  <si>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</si>
  <si>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</si>
  <si>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</si>
  <si>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</si>
  <si>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</si>
  <si>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</si>
  <si>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</si>
  <si>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</si>
  <si>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</si>
  <si>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</si>
  <si>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</si>
  <si>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</si>
  <si>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</si>
  <si>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</si>
  <si>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</si>
  <si>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</si>
  <si>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</si>
  <si>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</si>
  <si>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</si>
  <si>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</si>
  <si>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</si>
  <si>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</si>
  <si>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</si>
  <si>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</si>
  <si>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</si>
  <si>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</si>
  <si>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</si>
  <si>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</si>
  <si>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</si>
  <si>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</si>
  <si>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</si>
  <si>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</si>
  <si>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</si>
  <si>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</si>
  <si>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</si>
  <si>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</si>
  <si>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</si>
  <si>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</si>
  <si>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</si>
  <si>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</si>
  <si>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</si>
  <si>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</si>
  <si>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</si>
  <si>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</si>
  <si>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</si>
  <si>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</si>
  <si>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</si>
  <si>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</si>
  <si>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</si>
  <si>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</si>
  <si>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</si>
  <si>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</si>
  <si>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</si>
  <si>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</si>
  <si>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</si>
  <si>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</si>
  <si>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</si>
  <si>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</si>
  <si>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</si>
  <si>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</si>
  <si>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</si>
  <si>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</si>
  <si>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</si>
  <si>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</si>
  <si>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</si>
  <si>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</si>
  <si>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</si>
  <si>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</si>
  <si>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</si>
  <si>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</si>
  <si>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</si>
  <si>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</si>
  <si>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</si>
  <si>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</si>
  <si>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</si>
  <si>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</si>
  <si>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</si>
  <si>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</si>
  <si>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</si>
  <si>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</si>
  <si>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</si>
  <si>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</si>
  <si>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</si>
  <si>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</si>
  <si>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</si>
  <si>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</si>
  <si>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</si>
  <si>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</si>
  <si>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</si>
  <si>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</si>
  <si>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</si>
  <si>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</si>
  <si>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</si>
  <si>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</si>
  <si>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</si>
  <si>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</si>
  <si>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</si>
  <si>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</si>
  <si>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</si>
  <si>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</si>
  <si>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</si>
  <si>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</si>
  <si>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</si>
  <si>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</si>
  <si>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</si>
  <si>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</si>
  <si>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</si>
  <si>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</si>
  <si>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</si>
  <si>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</si>
  <si>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</si>
  <si>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</si>
  <si>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</si>
  <si>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</si>
  <si>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</si>
  <si>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</si>
  <si>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</si>
  <si>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</si>
  <si>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</si>
  <si>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</si>
  <si>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</si>
  <si>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</si>
  <si>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</si>
  <si>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</si>
  <si>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</si>
  <si>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</si>
  <si>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</si>
  <si>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</si>
  <si>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</si>
  <si>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</si>
  <si>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</si>
  <si>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</si>
  <si>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</si>
  <si>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</si>
  <si>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</si>
  <si>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</si>
  <si>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</si>
  <si>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</si>
  <si>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</si>
  <si>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</si>
  <si>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</si>
  <si>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</si>
  <si>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</si>
  <si>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</si>
  <si>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</si>
  <si>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</si>
  <si>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</si>
  <si>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</si>
  <si>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</si>
  <si>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</si>
  <si>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</si>
  <si>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</si>
  <si>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</si>
  <si>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</si>
  <si>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</si>
  <si>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</si>
  <si>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</si>
  <si>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</si>
  <si>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</si>
  <si>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</si>
  <si>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</si>
  <si>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</si>
  <si>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</si>
  <si>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</si>
  <si>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</si>
  <si>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</si>
  <si>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</si>
  <si>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</si>
  <si>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</si>
  <si>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</si>
  <si>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</si>
  <si>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</si>
  <si>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</si>
  <si>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</si>
  <si>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</si>
  <si>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</si>
  <si>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</si>
  <si>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</si>
  <si>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</si>
  <si>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</si>
  <si>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</si>
  <si>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</si>
  <si>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</si>
  <si>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</si>
  <si>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</si>
  <si>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</si>
  <si>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</si>
  <si>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</si>
  <si>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</si>
  <si>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</si>
  <si>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</si>
  <si>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</si>
  <si>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</si>
  <si>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</si>
  <si>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</si>
  <si>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</si>
  <si>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</si>
  <si>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</si>
  <si>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</si>
  <si>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15 Most Recent Adoptions</t>
  </si>
  <si>
    <t>Unique Animal Types</t>
  </si>
  <si>
    <t>Top 10 Most Expensive Adoptions</t>
  </si>
  <si>
    <t>Toronto Adoptions via Credit Card</t>
  </si>
  <si>
    <t>Only Animal Type &amp; Adoption Fee</t>
  </si>
  <si>
    <t>Most common breeds (unique + count)</t>
  </si>
  <si>
    <r>
      <rPr>
        <b/>
        <sz val="11"/>
        <color theme="1"/>
        <rFont val="Calibri"/>
        <family val="2"/>
        <scheme val="minor"/>
      </rPr>
      <t>Task 2 – Top 10 Most Expensive Adoptions</t>
    </r>
    <r>
      <rPr>
        <sz val="11"/>
        <color theme="1"/>
        <rFont val="Calibri"/>
        <family val="2"/>
        <scheme val="minor"/>
      </rPr>
      <t xml:space="preserve">
Formula❌ Before=TAKE(SORTBY(Table1, Table1[Adoption Fee], -1), 10)✅ After=INDEX(SORT(Table1, MATCH("Adoption Fee",Table1[#Headers],0),-1), SEQUENCE(10), SEQUENCE(1,COLUMNS(Table1)))
Why changed:
TAKE → removed, not in 2021. Replaced with INDEX + SEQUENCE(10) to grab first 10 rows
SORTBY → replaced with SORT, which is the 2021-compatible sorting function
MATCH(...) → added to locate the Adoption Fee column number dynamically instead of hardcoding it
</t>
    </r>
    <r>
      <rPr>
        <b/>
        <sz val="11"/>
        <color theme="1"/>
        <rFont val="Calibri"/>
        <family val="2"/>
        <scheme val="minor"/>
      </rPr>
      <t>Task 4 – 15 Most Recent Adoptions</t>
    </r>
    <r>
      <rPr>
        <sz val="11"/>
        <color theme="1"/>
        <rFont val="Calibri"/>
        <family val="2"/>
        <scheme val="minor"/>
      </rPr>
      <t xml:space="preserve">
Formula❌ Before=TAKE(SORTBY(Table1, Table1[Adoption Date], -1), 15)✅ After=INDEX(SORT(Table1, MATCH("Adoption Date",Table1[#Headers],0),-1), SEQUENCE(15), SEQUENCE(1,COLUMNS(Table1)))
Why changed:
Same logic as Task 2 — TAKE replaced with INDEX+SEQUENCE(15) to limit to 15 rows
SORTBY → SORT for 2021 compatibility
</t>
    </r>
    <r>
      <rPr>
        <b/>
        <sz val="11"/>
        <color theme="1"/>
        <rFont val="Calibri"/>
        <family val="2"/>
        <scheme val="minor"/>
      </rPr>
      <t>Task 5 – Animal Type &amp; Adoption Fee columns only</t>
    </r>
    <r>
      <rPr>
        <sz val="11"/>
        <color theme="1"/>
        <rFont val="Calibri"/>
        <family val="2"/>
        <scheme val="minor"/>
      </rPr>
      <t xml:space="preserve">
Formula❌ Before=CHOOSECOLS(Table1, MATCH({"Animal Type","Adoption Fee"}, Table1[#Headers], 0))✅ After=CHOOSE({1,2}, Table1[Animal Type], Table1[Adoption Fee])
Why changed:
CHOOSECOLS → removed, not in 2021. Replaced with CHOOSE({1,2}, ...) which manually picks and pairs two columns side by side — simpler and fully supported in 2021
</t>
    </r>
    <r>
      <rPr>
        <b/>
        <sz val="11"/>
        <color theme="1"/>
        <rFont val="Calibri"/>
        <family val="2"/>
        <scheme val="minor"/>
      </rPr>
      <t xml:space="preserve">Tasks 1 &amp; 3 — No changes needed ✅
</t>
    </r>
    <r>
      <rPr>
        <sz val="11"/>
        <color theme="1"/>
        <rFont val="Calibri"/>
        <family val="2"/>
        <scheme val="minor"/>
      </rPr>
      <t>TaskFormulaReasonTask 1=UNIQUE(Table1[Animal Type])UNIQUE is available in Excel 2021Task 3=FILTER(Table1, (Table1[City]="Toronto") * (Table1[Payment Method]="Credit Card"))FILTER is available in Excel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</si>
</sst>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C906A-9E11-4B34-8837-9A954737E297}" name="Table1" displayName="Table1" ref="A1:H401" totalsRowShown="0" headerRowDxfId="0" headerRowBorderDxfId="2" tableBorderDxfId="3">
  <autoFilter ref="A1:H401" xr:uid="{1C1C906A-9E11-4B34-8837-9A954737E297}"/>
  <tableColumns count="8">
    <tableColumn id="1" xr3:uid="{44EDBBD6-7FDA-433D-A94F-16B8EE84957D}" name="Adoption ID"/>
    <tableColumn id="2" xr3:uid="{0234D343-4B90-4A75-A8A5-54D90E669230}" name="Animal Type"/>
    <tableColumn id="3" xr3:uid="{1C86058F-7E19-496A-A0D4-BBE2E0F6EAF1}" name="Breed"/>
    <tableColumn id="4" xr3:uid="{2F0DF72D-245E-4058-9787-F299028E4343}" name="Age (Years)"/>
    <tableColumn id="5" xr3:uid="{9FA01D9A-1E07-4C14-BC5A-675B6DDAAE1C}" name="Adoption Fee"/>
    <tableColumn id="6" xr3:uid="{D8791C8A-7FB0-45E6-BAF9-18F75DD3B305}" name="Adoption Date" dataDxfId="1"/>
    <tableColumn id="7" xr3:uid="{27B4C7FE-5360-411C-8544-818961735ACF}" name="City"/>
    <tableColumn id="8" xr3:uid="{C99F6B75-B474-4E21-81DC-477302384624}" name="Payment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J2" sqref="J2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  <row r="17" spans="1:1" x14ac:dyDescent="0.3">
      <c r="A1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tabSelected="1" workbookViewId="0">
      <selection activeCell="K19" sqref="K19"/>
    </sheetView>
  </sheetViews>
  <sheetFormatPr defaultRowHeight="14.4" x14ac:dyDescent="0.3"/>
  <cols>
    <col min="1" max="1" width="13" customWidth="1"/>
    <col min="2" max="2" width="13.33203125" customWidth="1"/>
    <col min="3" max="3" width="10.6640625" bestFit="1" customWidth="1"/>
    <col min="4" max="4" width="12.33203125" customWidth="1"/>
    <col min="5" max="5" width="14.109375" customWidth="1"/>
    <col min="6" max="6" width="18.109375" bestFit="1" customWidth="1"/>
    <col min="7" max="7" width="9.6640625" bestFit="1" customWidth="1"/>
    <col min="8" max="8" width="17.6640625" customWidth="1"/>
  </cols>
  <sheetData>
    <row r="1" spans="1:14" x14ac:dyDescent="0.3">
      <c r="A1" s="2" t="s">
        <v>13</v>
      </c>
      <c r="B1" s="2" t="s">
        <v>14</v>
      </c>
      <c r="C1" s="2" t="s">
        <v>15</v>
      </c>
      <c r="D1" s="2" t="s">
        <v>16</v>
      </c>
      <c r="E1" s="5" t="s">
        <v>17</v>
      </c>
      <c r="F1" s="2" t="s">
        <v>18</v>
      </c>
      <c r="G1" s="2" t="s">
        <v>19</v>
      </c>
      <c r="H1" s="2" t="s">
        <v>20</v>
      </c>
      <c r="J1" s="4"/>
      <c r="K1" s="4"/>
      <c r="L1" s="4"/>
      <c r="M1" s="4"/>
      <c r="N1" s="4"/>
    </row>
    <row r="2" spans="1:14" x14ac:dyDescent="0.3">
      <c r="A2" t="s">
        <v>21</v>
      </c>
      <c r="B2" t="s">
        <v>22</v>
      </c>
      <c r="C2" t="s">
        <v>23</v>
      </c>
      <c r="D2">
        <v>13</v>
      </c>
      <c r="E2">
        <v>200</v>
      </c>
      <c r="F2" s="1">
        <v>44987</v>
      </c>
      <c r="G2" t="s">
        <v>24</v>
      </c>
      <c r="H2" t="s">
        <v>25</v>
      </c>
    </row>
    <row r="3" spans="1:14" x14ac:dyDescent="0.3">
      <c r="A3" t="s">
        <v>26</v>
      </c>
      <c r="B3" t="s">
        <v>27</v>
      </c>
      <c r="C3" t="s">
        <v>28</v>
      </c>
      <c r="D3">
        <v>10</v>
      </c>
      <c r="E3">
        <v>100</v>
      </c>
      <c r="F3" s="1">
        <v>45306</v>
      </c>
      <c r="G3" t="s">
        <v>29</v>
      </c>
      <c r="H3" t="s">
        <v>25</v>
      </c>
    </row>
    <row r="4" spans="1:14" x14ac:dyDescent="0.3">
      <c r="A4" t="s">
        <v>30</v>
      </c>
      <c r="B4" t="s">
        <v>31</v>
      </c>
      <c r="C4" t="s">
        <v>32</v>
      </c>
      <c r="D4">
        <v>8</v>
      </c>
      <c r="E4">
        <v>50</v>
      </c>
      <c r="F4" s="1">
        <v>45366</v>
      </c>
      <c r="G4" t="s">
        <v>33</v>
      </c>
      <c r="H4" t="s">
        <v>25</v>
      </c>
    </row>
    <row r="5" spans="1:14" x14ac:dyDescent="0.3">
      <c r="A5" t="s">
        <v>34</v>
      </c>
      <c r="B5" t="s">
        <v>27</v>
      </c>
      <c r="C5" t="s">
        <v>35</v>
      </c>
      <c r="D5">
        <v>0</v>
      </c>
      <c r="E5">
        <v>150</v>
      </c>
      <c r="F5" s="1">
        <v>45245</v>
      </c>
      <c r="G5" t="s">
        <v>24</v>
      </c>
      <c r="H5" t="s">
        <v>36</v>
      </c>
    </row>
    <row r="6" spans="1:14" x14ac:dyDescent="0.3">
      <c r="A6" t="s">
        <v>37</v>
      </c>
      <c r="B6" t="s">
        <v>27</v>
      </c>
      <c r="C6" t="s">
        <v>28</v>
      </c>
      <c r="D6">
        <v>14</v>
      </c>
      <c r="E6">
        <v>75</v>
      </c>
      <c r="F6" s="1">
        <v>45228</v>
      </c>
      <c r="G6" t="s">
        <v>29</v>
      </c>
      <c r="H6" t="s">
        <v>25</v>
      </c>
    </row>
    <row r="7" spans="1:14" x14ac:dyDescent="0.3">
      <c r="A7" t="s">
        <v>38</v>
      </c>
      <c r="B7" t="s">
        <v>39</v>
      </c>
      <c r="C7" t="s">
        <v>32</v>
      </c>
      <c r="D7">
        <v>14</v>
      </c>
      <c r="E7">
        <v>75</v>
      </c>
      <c r="F7" s="1">
        <v>45270</v>
      </c>
      <c r="G7" t="s">
        <v>24</v>
      </c>
      <c r="H7" t="s">
        <v>40</v>
      </c>
    </row>
    <row r="8" spans="1:14" x14ac:dyDescent="0.3">
      <c r="A8" t="s">
        <v>41</v>
      </c>
      <c r="B8" t="s">
        <v>31</v>
      </c>
      <c r="C8" t="s">
        <v>42</v>
      </c>
      <c r="D8">
        <v>6</v>
      </c>
      <c r="E8">
        <v>200</v>
      </c>
      <c r="F8" s="1">
        <v>44937</v>
      </c>
      <c r="G8" t="s">
        <v>24</v>
      </c>
      <c r="H8" t="s">
        <v>43</v>
      </c>
    </row>
    <row r="9" spans="1:14" x14ac:dyDescent="0.3">
      <c r="A9" t="s">
        <v>44</v>
      </c>
      <c r="B9" t="s">
        <v>31</v>
      </c>
      <c r="C9" t="s">
        <v>28</v>
      </c>
      <c r="D9">
        <v>14</v>
      </c>
      <c r="E9">
        <v>100</v>
      </c>
      <c r="F9" s="1">
        <v>44988</v>
      </c>
      <c r="G9" t="s">
        <v>33</v>
      </c>
      <c r="H9" t="s">
        <v>43</v>
      </c>
    </row>
    <row r="10" spans="1:14" x14ac:dyDescent="0.3">
      <c r="A10" t="s">
        <v>45</v>
      </c>
      <c r="B10" t="s">
        <v>31</v>
      </c>
      <c r="C10" t="s">
        <v>46</v>
      </c>
      <c r="D10">
        <v>4</v>
      </c>
      <c r="E10">
        <v>75</v>
      </c>
      <c r="F10" s="1">
        <v>45152</v>
      </c>
      <c r="G10" t="s">
        <v>47</v>
      </c>
      <c r="H10" t="s">
        <v>25</v>
      </c>
    </row>
    <row r="11" spans="1:14" x14ac:dyDescent="0.3">
      <c r="A11" t="s">
        <v>48</v>
      </c>
      <c r="B11" t="s">
        <v>27</v>
      </c>
      <c r="C11" t="s">
        <v>35</v>
      </c>
      <c r="D11">
        <v>4</v>
      </c>
      <c r="E11">
        <v>50</v>
      </c>
      <c r="F11" s="1">
        <v>45079</v>
      </c>
      <c r="G11" t="s">
        <v>47</v>
      </c>
      <c r="H11" t="s">
        <v>43</v>
      </c>
    </row>
    <row r="12" spans="1:14" x14ac:dyDescent="0.3">
      <c r="A12" t="s">
        <v>49</v>
      </c>
      <c r="B12" t="s">
        <v>22</v>
      </c>
      <c r="C12" t="s">
        <v>32</v>
      </c>
      <c r="D12">
        <v>13</v>
      </c>
      <c r="E12">
        <v>200</v>
      </c>
      <c r="F12" s="1">
        <v>45236</v>
      </c>
      <c r="G12" t="s">
        <v>24</v>
      </c>
      <c r="H12" t="s">
        <v>36</v>
      </c>
    </row>
    <row r="13" spans="1:14" x14ac:dyDescent="0.3">
      <c r="A13" t="s">
        <v>50</v>
      </c>
      <c r="B13" t="s">
        <v>31</v>
      </c>
      <c r="C13" t="s">
        <v>32</v>
      </c>
      <c r="D13">
        <v>1</v>
      </c>
      <c r="E13">
        <v>150</v>
      </c>
      <c r="F13" s="1">
        <v>45169</v>
      </c>
      <c r="G13" t="s">
        <v>51</v>
      </c>
      <c r="H13" t="s">
        <v>36</v>
      </c>
    </row>
    <row r="14" spans="1:14" x14ac:dyDescent="0.3">
      <c r="A14" t="s">
        <v>52</v>
      </c>
      <c r="B14" t="s">
        <v>27</v>
      </c>
      <c r="C14" t="s">
        <v>32</v>
      </c>
      <c r="D14">
        <v>10</v>
      </c>
      <c r="E14">
        <v>200</v>
      </c>
      <c r="F14" s="1">
        <v>45419</v>
      </c>
      <c r="G14" t="s">
        <v>29</v>
      </c>
      <c r="H14" t="s">
        <v>43</v>
      </c>
    </row>
    <row r="15" spans="1:14" x14ac:dyDescent="0.3">
      <c r="A15" t="s">
        <v>53</v>
      </c>
      <c r="B15" t="s">
        <v>39</v>
      </c>
      <c r="C15" t="s">
        <v>42</v>
      </c>
      <c r="D15">
        <v>2</v>
      </c>
      <c r="E15">
        <v>150</v>
      </c>
      <c r="F15" s="1">
        <v>45292</v>
      </c>
      <c r="G15" t="s">
        <v>51</v>
      </c>
      <c r="H15" t="s">
        <v>36</v>
      </c>
    </row>
    <row r="16" spans="1:14" x14ac:dyDescent="0.3">
      <c r="A16" t="s">
        <v>54</v>
      </c>
      <c r="B16" t="s">
        <v>22</v>
      </c>
      <c r="C16" t="s">
        <v>28</v>
      </c>
      <c r="D16">
        <v>6</v>
      </c>
      <c r="E16">
        <v>200</v>
      </c>
      <c r="F16" s="1">
        <v>45256</v>
      </c>
      <c r="G16" t="s">
        <v>51</v>
      </c>
      <c r="H16" t="s">
        <v>43</v>
      </c>
    </row>
    <row r="17" spans="1:8" x14ac:dyDescent="0.3">
      <c r="A17" t="s">
        <v>55</v>
      </c>
      <c r="B17" t="s">
        <v>39</v>
      </c>
      <c r="C17" t="s">
        <v>42</v>
      </c>
      <c r="D17">
        <v>5</v>
      </c>
      <c r="E17">
        <v>200</v>
      </c>
      <c r="F17" s="1">
        <v>45033</v>
      </c>
      <c r="G17" t="s">
        <v>24</v>
      </c>
      <c r="H17" t="s">
        <v>43</v>
      </c>
    </row>
    <row r="18" spans="1:8" x14ac:dyDescent="0.3">
      <c r="A18" t="s">
        <v>56</v>
      </c>
      <c r="B18" t="s">
        <v>22</v>
      </c>
      <c r="C18" t="s">
        <v>57</v>
      </c>
      <c r="D18">
        <v>11</v>
      </c>
      <c r="E18">
        <v>200</v>
      </c>
      <c r="F18" s="1">
        <v>45152</v>
      </c>
      <c r="G18" t="s">
        <v>24</v>
      </c>
      <c r="H18" t="s">
        <v>43</v>
      </c>
    </row>
    <row r="19" spans="1:8" x14ac:dyDescent="0.3">
      <c r="A19" t="s">
        <v>58</v>
      </c>
      <c r="B19" t="s">
        <v>27</v>
      </c>
      <c r="C19" t="s">
        <v>57</v>
      </c>
      <c r="D19">
        <v>1</v>
      </c>
      <c r="E19">
        <v>150</v>
      </c>
      <c r="F19" s="1">
        <v>45144</v>
      </c>
      <c r="G19" t="s">
        <v>24</v>
      </c>
      <c r="H19" t="s">
        <v>25</v>
      </c>
    </row>
    <row r="20" spans="1:8" x14ac:dyDescent="0.3">
      <c r="A20" t="s">
        <v>59</v>
      </c>
      <c r="B20" t="s">
        <v>60</v>
      </c>
      <c r="C20" t="s">
        <v>28</v>
      </c>
      <c r="D20">
        <v>5</v>
      </c>
      <c r="E20">
        <v>150</v>
      </c>
      <c r="F20" s="1">
        <v>45432</v>
      </c>
      <c r="G20" t="s">
        <v>24</v>
      </c>
      <c r="H20" t="s">
        <v>43</v>
      </c>
    </row>
    <row r="21" spans="1:8" x14ac:dyDescent="0.3">
      <c r="A21" t="s">
        <v>61</v>
      </c>
      <c r="B21" t="s">
        <v>22</v>
      </c>
      <c r="C21" t="s">
        <v>46</v>
      </c>
      <c r="D21">
        <v>1</v>
      </c>
      <c r="E21">
        <v>200</v>
      </c>
      <c r="F21" s="1">
        <v>45185</v>
      </c>
      <c r="G21" t="s">
        <v>47</v>
      </c>
      <c r="H21" t="s">
        <v>25</v>
      </c>
    </row>
    <row r="22" spans="1:8" x14ac:dyDescent="0.3">
      <c r="A22" t="s">
        <v>62</v>
      </c>
      <c r="B22" t="s">
        <v>39</v>
      </c>
      <c r="C22" t="s">
        <v>42</v>
      </c>
      <c r="D22">
        <v>1</v>
      </c>
      <c r="E22">
        <v>75</v>
      </c>
      <c r="F22" s="1">
        <v>45443</v>
      </c>
      <c r="G22" t="s">
        <v>24</v>
      </c>
      <c r="H22" t="s">
        <v>43</v>
      </c>
    </row>
    <row r="23" spans="1:8" x14ac:dyDescent="0.3">
      <c r="A23" t="s">
        <v>63</v>
      </c>
      <c r="B23" t="s">
        <v>27</v>
      </c>
      <c r="C23" t="s">
        <v>35</v>
      </c>
      <c r="D23">
        <v>1</v>
      </c>
      <c r="E23">
        <v>100</v>
      </c>
      <c r="F23" s="1">
        <v>44980</v>
      </c>
      <c r="G23" t="s">
        <v>47</v>
      </c>
      <c r="H23" t="s">
        <v>43</v>
      </c>
    </row>
    <row r="24" spans="1:8" x14ac:dyDescent="0.3">
      <c r="A24" t="s">
        <v>64</v>
      </c>
      <c r="B24" t="s">
        <v>22</v>
      </c>
      <c r="C24" t="s">
        <v>32</v>
      </c>
      <c r="D24">
        <v>13</v>
      </c>
      <c r="E24">
        <v>100</v>
      </c>
      <c r="F24" s="1">
        <v>44973</v>
      </c>
      <c r="G24" t="s">
        <v>47</v>
      </c>
      <c r="H24" t="s">
        <v>43</v>
      </c>
    </row>
    <row r="25" spans="1:8" x14ac:dyDescent="0.3">
      <c r="A25" t="s">
        <v>65</v>
      </c>
      <c r="B25" t="s">
        <v>60</v>
      </c>
      <c r="C25" t="s">
        <v>32</v>
      </c>
      <c r="D25">
        <v>14</v>
      </c>
      <c r="E25">
        <v>100</v>
      </c>
      <c r="F25" s="1">
        <v>45447</v>
      </c>
      <c r="G25" t="s">
        <v>24</v>
      </c>
      <c r="H25" t="s">
        <v>36</v>
      </c>
    </row>
    <row r="26" spans="1:8" x14ac:dyDescent="0.3">
      <c r="A26" t="s">
        <v>66</v>
      </c>
      <c r="B26" t="s">
        <v>60</v>
      </c>
      <c r="C26" t="s">
        <v>28</v>
      </c>
      <c r="D26">
        <v>10</v>
      </c>
      <c r="E26">
        <v>150</v>
      </c>
      <c r="F26" s="1">
        <v>45025</v>
      </c>
      <c r="G26" t="s">
        <v>33</v>
      </c>
      <c r="H26" t="s">
        <v>25</v>
      </c>
    </row>
    <row r="27" spans="1:8" x14ac:dyDescent="0.3">
      <c r="A27" t="s">
        <v>67</v>
      </c>
      <c r="B27" t="s">
        <v>31</v>
      </c>
      <c r="C27" t="s">
        <v>46</v>
      </c>
      <c r="D27">
        <v>2</v>
      </c>
      <c r="E27">
        <v>150</v>
      </c>
      <c r="F27" s="1">
        <v>44946</v>
      </c>
      <c r="G27" t="s">
        <v>29</v>
      </c>
      <c r="H27" t="s">
        <v>25</v>
      </c>
    </row>
    <row r="28" spans="1:8" x14ac:dyDescent="0.3">
      <c r="A28" t="s">
        <v>68</v>
      </c>
      <c r="B28" t="s">
        <v>31</v>
      </c>
      <c r="C28" t="s">
        <v>57</v>
      </c>
      <c r="D28">
        <v>14</v>
      </c>
      <c r="E28">
        <v>75</v>
      </c>
      <c r="F28" s="1">
        <v>45416</v>
      </c>
      <c r="G28" t="s">
        <v>51</v>
      </c>
      <c r="H28" t="s">
        <v>43</v>
      </c>
    </row>
    <row r="29" spans="1:8" x14ac:dyDescent="0.3">
      <c r="A29" t="s">
        <v>69</v>
      </c>
      <c r="B29" t="s">
        <v>39</v>
      </c>
      <c r="C29" t="s">
        <v>57</v>
      </c>
      <c r="D29">
        <v>1</v>
      </c>
      <c r="E29">
        <v>100</v>
      </c>
      <c r="F29" s="1">
        <v>45345</v>
      </c>
      <c r="G29" t="s">
        <v>47</v>
      </c>
      <c r="H29" t="s">
        <v>43</v>
      </c>
    </row>
    <row r="30" spans="1:8" x14ac:dyDescent="0.3">
      <c r="A30" t="s">
        <v>70</v>
      </c>
      <c r="B30" t="s">
        <v>22</v>
      </c>
      <c r="C30" t="s">
        <v>32</v>
      </c>
      <c r="D30">
        <v>3</v>
      </c>
      <c r="E30">
        <v>100</v>
      </c>
      <c r="F30" s="1">
        <v>44988</v>
      </c>
      <c r="G30" t="s">
        <v>29</v>
      </c>
      <c r="H30" t="s">
        <v>36</v>
      </c>
    </row>
    <row r="31" spans="1:8" x14ac:dyDescent="0.3">
      <c r="A31" t="s">
        <v>71</v>
      </c>
      <c r="B31" t="s">
        <v>22</v>
      </c>
      <c r="C31" t="s">
        <v>28</v>
      </c>
      <c r="D31">
        <v>8</v>
      </c>
      <c r="E31">
        <v>200</v>
      </c>
      <c r="F31" s="1">
        <v>45071</v>
      </c>
      <c r="G31" t="s">
        <v>33</v>
      </c>
      <c r="H31" t="s">
        <v>36</v>
      </c>
    </row>
    <row r="32" spans="1:8" x14ac:dyDescent="0.3">
      <c r="A32" t="s">
        <v>72</v>
      </c>
      <c r="B32" t="s">
        <v>31</v>
      </c>
      <c r="C32" t="s">
        <v>42</v>
      </c>
      <c r="D32">
        <v>5</v>
      </c>
      <c r="E32">
        <v>150</v>
      </c>
      <c r="F32" s="1">
        <v>45142</v>
      </c>
      <c r="G32" t="s">
        <v>51</v>
      </c>
      <c r="H32" t="s">
        <v>36</v>
      </c>
    </row>
    <row r="33" spans="1:8" x14ac:dyDescent="0.3">
      <c r="A33" t="s">
        <v>73</v>
      </c>
      <c r="B33" t="s">
        <v>22</v>
      </c>
      <c r="C33" t="s">
        <v>57</v>
      </c>
      <c r="D33">
        <v>0</v>
      </c>
      <c r="E33">
        <v>100</v>
      </c>
      <c r="F33" s="1">
        <v>44929</v>
      </c>
      <c r="G33" t="s">
        <v>51</v>
      </c>
      <c r="H33" t="s">
        <v>25</v>
      </c>
    </row>
    <row r="34" spans="1:8" x14ac:dyDescent="0.3">
      <c r="A34" t="s">
        <v>74</v>
      </c>
      <c r="B34" t="s">
        <v>22</v>
      </c>
      <c r="C34" t="s">
        <v>42</v>
      </c>
      <c r="D34">
        <v>7</v>
      </c>
      <c r="E34">
        <v>75</v>
      </c>
      <c r="F34" s="1">
        <v>45086</v>
      </c>
      <c r="G34" t="s">
        <v>47</v>
      </c>
      <c r="H34" t="s">
        <v>25</v>
      </c>
    </row>
    <row r="35" spans="1:8" x14ac:dyDescent="0.3">
      <c r="A35" t="s">
        <v>75</v>
      </c>
      <c r="B35" t="s">
        <v>60</v>
      </c>
      <c r="C35" t="s">
        <v>46</v>
      </c>
      <c r="D35">
        <v>14</v>
      </c>
      <c r="E35">
        <v>75</v>
      </c>
      <c r="F35" s="1">
        <v>45046</v>
      </c>
      <c r="G35" t="s">
        <v>24</v>
      </c>
      <c r="H35" t="s">
        <v>25</v>
      </c>
    </row>
    <row r="36" spans="1:8" x14ac:dyDescent="0.3">
      <c r="A36" t="s">
        <v>76</v>
      </c>
      <c r="B36" t="s">
        <v>31</v>
      </c>
      <c r="C36" t="s">
        <v>57</v>
      </c>
      <c r="D36">
        <v>11</v>
      </c>
      <c r="E36">
        <v>100</v>
      </c>
      <c r="F36" s="1">
        <v>45015</v>
      </c>
      <c r="G36" t="s">
        <v>33</v>
      </c>
      <c r="H36" t="s">
        <v>43</v>
      </c>
    </row>
    <row r="37" spans="1:8" x14ac:dyDescent="0.3">
      <c r="A37" t="s">
        <v>77</v>
      </c>
      <c r="B37" t="s">
        <v>27</v>
      </c>
      <c r="C37" t="s">
        <v>57</v>
      </c>
      <c r="D37">
        <v>13</v>
      </c>
      <c r="E37">
        <v>150</v>
      </c>
      <c r="F37" s="1">
        <v>45255</v>
      </c>
      <c r="G37" t="s">
        <v>47</v>
      </c>
      <c r="H37" t="s">
        <v>25</v>
      </c>
    </row>
    <row r="38" spans="1:8" x14ac:dyDescent="0.3">
      <c r="A38" t="s">
        <v>78</v>
      </c>
      <c r="B38" t="s">
        <v>31</v>
      </c>
      <c r="C38" t="s">
        <v>23</v>
      </c>
      <c r="D38">
        <v>6</v>
      </c>
      <c r="E38">
        <v>75</v>
      </c>
      <c r="F38" s="1">
        <v>45283</v>
      </c>
      <c r="G38" t="s">
        <v>33</v>
      </c>
      <c r="H38" t="s">
        <v>40</v>
      </c>
    </row>
    <row r="39" spans="1:8" x14ac:dyDescent="0.3">
      <c r="A39" t="s">
        <v>79</v>
      </c>
      <c r="B39" t="s">
        <v>27</v>
      </c>
      <c r="C39" t="s">
        <v>57</v>
      </c>
      <c r="D39">
        <v>9</v>
      </c>
      <c r="E39">
        <v>200</v>
      </c>
      <c r="F39" s="1">
        <v>45193</v>
      </c>
      <c r="G39" t="s">
        <v>24</v>
      </c>
      <c r="H39" t="s">
        <v>40</v>
      </c>
    </row>
    <row r="40" spans="1:8" x14ac:dyDescent="0.3">
      <c r="A40" t="s">
        <v>80</v>
      </c>
      <c r="B40" t="s">
        <v>60</v>
      </c>
      <c r="C40" t="s">
        <v>35</v>
      </c>
      <c r="D40">
        <v>2</v>
      </c>
      <c r="E40">
        <v>75</v>
      </c>
      <c r="F40" s="1">
        <v>45249</v>
      </c>
      <c r="G40" t="s">
        <v>24</v>
      </c>
      <c r="H40" t="s">
        <v>36</v>
      </c>
    </row>
    <row r="41" spans="1:8" x14ac:dyDescent="0.3">
      <c r="A41" t="s">
        <v>81</v>
      </c>
      <c r="B41" t="s">
        <v>39</v>
      </c>
      <c r="C41" t="s">
        <v>28</v>
      </c>
      <c r="D41">
        <v>0</v>
      </c>
      <c r="E41">
        <v>50</v>
      </c>
      <c r="F41" s="1">
        <v>45467</v>
      </c>
      <c r="G41" t="s">
        <v>47</v>
      </c>
      <c r="H41" t="s">
        <v>25</v>
      </c>
    </row>
    <row r="42" spans="1:8" x14ac:dyDescent="0.3">
      <c r="A42" t="s">
        <v>82</v>
      </c>
      <c r="B42" t="s">
        <v>22</v>
      </c>
      <c r="C42" t="s">
        <v>28</v>
      </c>
      <c r="D42">
        <v>4</v>
      </c>
      <c r="E42">
        <v>50</v>
      </c>
      <c r="F42" s="1">
        <v>45121</v>
      </c>
      <c r="G42" t="s">
        <v>24</v>
      </c>
      <c r="H42" t="s">
        <v>40</v>
      </c>
    </row>
    <row r="43" spans="1:8" x14ac:dyDescent="0.3">
      <c r="A43" t="s">
        <v>83</v>
      </c>
      <c r="B43" t="s">
        <v>60</v>
      </c>
      <c r="C43" t="s">
        <v>42</v>
      </c>
      <c r="D43">
        <v>12</v>
      </c>
      <c r="E43">
        <v>150</v>
      </c>
      <c r="F43" s="1">
        <v>45258</v>
      </c>
      <c r="G43" t="s">
        <v>29</v>
      </c>
      <c r="H43" t="s">
        <v>36</v>
      </c>
    </row>
    <row r="44" spans="1:8" x14ac:dyDescent="0.3">
      <c r="A44" t="s">
        <v>84</v>
      </c>
      <c r="B44" t="s">
        <v>22</v>
      </c>
      <c r="C44" t="s">
        <v>46</v>
      </c>
      <c r="D44">
        <v>3</v>
      </c>
      <c r="E44">
        <v>100</v>
      </c>
      <c r="F44" s="1">
        <v>45096</v>
      </c>
      <c r="G44" t="s">
        <v>51</v>
      </c>
      <c r="H44" t="s">
        <v>25</v>
      </c>
    </row>
    <row r="45" spans="1:8" x14ac:dyDescent="0.3">
      <c r="A45" t="s">
        <v>85</v>
      </c>
      <c r="B45" t="s">
        <v>39</v>
      </c>
      <c r="C45" t="s">
        <v>57</v>
      </c>
      <c r="D45">
        <v>9</v>
      </c>
      <c r="E45">
        <v>150</v>
      </c>
      <c r="F45" s="1">
        <v>45447</v>
      </c>
      <c r="G45" t="s">
        <v>47</v>
      </c>
      <c r="H45" t="s">
        <v>43</v>
      </c>
    </row>
    <row r="46" spans="1:8" x14ac:dyDescent="0.3">
      <c r="A46" t="s">
        <v>86</v>
      </c>
      <c r="B46" t="s">
        <v>39</v>
      </c>
      <c r="C46" t="s">
        <v>35</v>
      </c>
      <c r="D46">
        <v>7</v>
      </c>
      <c r="E46">
        <v>150</v>
      </c>
      <c r="F46" s="1">
        <v>45389</v>
      </c>
      <c r="G46" t="s">
        <v>33</v>
      </c>
      <c r="H46" t="s">
        <v>40</v>
      </c>
    </row>
    <row r="47" spans="1:8" x14ac:dyDescent="0.3">
      <c r="A47" t="s">
        <v>87</v>
      </c>
      <c r="B47" t="s">
        <v>60</v>
      </c>
      <c r="C47" t="s">
        <v>42</v>
      </c>
      <c r="D47">
        <v>0</v>
      </c>
      <c r="E47">
        <v>150</v>
      </c>
      <c r="F47" s="1">
        <v>44966</v>
      </c>
      <c r="G47" t="s">
        <v>29</v>
      </c>
      <c r="H47" t="s">
        <v>43</v>
      </c>
    </row>
    <row r="48" spans="1:8" x14ac:dyDescent="0.3">
      <c r="A48" t="s">
        <v>88</v>
      </c>
      <c r="B48" t="s">
        <v>39</v>
      </c>
      <c r="C48" t="s">
        <v>23</v>
      </c>
      <c r="D48">
        <v>9</v>
      </c>
      <c r="E48">
        <v>150</v>
      </c>
      <c r="F48" s="1">
        <v>45463</v>
      </c>
      <c r="G48" t="s">
        <v>47</v>
      </c>
      <c r="H48" t="s">
        <v>25</v>
      </c>
    </row>
    <row r="49" spans="1:8" x14ac:dyDescent="0.3">
      <c r="A49" t="s">
        <v>89</v>
      </c>
      <c r="B49" t="s">
        <v>27</v>
      </c>
      <c r="C49" t="s">
        <v>42</v>
      </c>
      <c r="D49">
        <v>0</v>
      </c>
      <c r="E49">
        <v>200</v>
      </c>
      <c r="F49" s="1">
        <v>45187</v>
      </c>
      <c r="G49" t="s">
        <v>24</v>
      </c>
      <c r="H49" t="s">
        <v>40</v>
      </c>
    </row>
    <row r="50" spans="1:8" x14ac:dyDescent="0.3">
      <c r="A50" t="s">
        <v>90</v>
      </c>
      <c r="B50" t="s">
        <v>39</v>
      </c>
      <c r="C50" t="s">
        <v>42</v>
      </c>
      <c r="D50">
        <v>11</v>
      </c>
      <c r="E50">
        <v>200</v>
      </c>
      <c r="F50" s="1">
        <v>45321</v>
      </c>
      <c r="G50" t="s">
        <v>24</v>
      </c>
      <c r="H50" t="s">
        <v>25</v>
      </c>
    </row>
    <row r="51" spans="1:8" x14ac:dyDescent="0.3">
      <c r="A51" t="s">
        <v>91</v>
      </c>
      <c r="B51" t="s">
        <v>22</v>
      </c>
      <c r="C51" t="s">
        <v>57</v>
      </c>
      <c r="D51">
        <v>3</v>
      </c>
      <c r="E51">
        <v>75</v>
      </c>
      <c r="F51" s="1">
        <v>45152</v>
      </c>
      <c r="G51" t="s">
        <v>24</v>
      </c>
      <c r="H51" t="s">
        <v>43</v>
      </c>
    </row>
    <row r="52" spans="1:8" x14ac:dyDescent="0.3">
      <c r="A52" t="s">
        <v>92</v>
      </c>
      <c r="B52" t="s">
        <v>22</v>
      </c>
      <c r="C52" t="s">
        <v>23</v>
      </c>
      <c r="D52">
        <v>7</v>
      </c>
      <c r="E52">
        <v>50</v>
      </c>
      <c r="F52" s="1">
        <v>45050</v>
      </c>
      <c r="G52" t="s">
        <v>24</v>
      </c>
      <c r="H52" t="s">
        <v>40</v>
      </c>
    </row>
    <row r="53" spans="1:8" x14ac:dyDescent="0.3">
      <c r="A53" t="s">
        <v>93</v>
      </c>
      <c r="B53" t="s">
        <v>22</v>
      </c>
      <c r="C53" t="s">
        <v>42</v>
      </c>
      <c r="D53">
        <v>4</v>
      </c>
      <c r="E53">
        <v>150</v>
      </c>
      <c r="F53" s="1">
        <v>44964</v>
      </c>
      <c r="G53" t="s">
        <v>33</v>
      </c>
      <c r="H53" t="s">
        <v>43</v>
      </c>
    </row>
    <row r="54" spans="1:8" x14ac:dyDescent="0.3">
      <c r="A54" t="s">
        <v>94</v>
      </c>
      <c r="B54" t="s">
        <v>22</v>
      </c>
      <c r="C54" t="s">
        <v>35</v>
      </c>
      <c r="D54">
        <v>1</v>
      </c>
      <c r="E54">
        <v>75</v>
      </c>
      <c r="F54" s="1">
        <v>45254</v>
      </c>
      <c r="G54" t="s">
        <v>29</v>
      </c>
      <c r="H54" t="s">
        <v>25</v>
      </c>
    </row>
    <row r="55" spans="1:8" x14ac:dyDescent="0.3">
      <c r="A55" t="s">
        <v>95</v>
      </c>
      <c r="B55" t="s">
        <v>27</v>
      </c>
      <c r="C55" t="s">
        <v>35</v>
      </c>
      <c r="D55">
        <v>5</v>
      </c>
      <c r="E55">
        <v>50</v>
      </c>
      <c r="F55" s="1">
        <v>45177</v>
      </c>
      <c r="G55" t="s">
        <v>51</v>
      </c>
      <c r="H55" t="s">
        <v>25</v>
      </c>
    </row>
    <row r="56" spans="1:8" x14ac:dyDescent="0.3">
      <c r="A56" t="s">
        <v>96</v>
      </c>
      <c r="B56" t="s">
        <v>31</v>
      </c>
      <c r="C56" t="s">
        <v>28</v>
      </c>
      <c r="D56">
        <v>4</v>
      </c>
      <c r="E56">
        <v>100</v>
      </c>
      <c r="F56" s="1">
        <v>45102</v>
      </c>
      <c r="G56" t="s">
        <v>33</v>
      </c>
      <c r="H56" t="s">
        <v>43</v>
      </c>
    </row>
    <row r="57" spans="1:8" x14ac:dyDescent="0.3">
      <c r="A57" t="s">
        <v>97</v>
      </c>
      <c r="B57" t="s">
        <v>60</v>
      </c>
      <c r="C57" t="s">
        <v>23</v>
      </c>
      <c r="D57">
        <v>1</v>
      </c>
      <c r="E57">
        <v>200</v>
      </c>
      <c r="F57" s="1">
        <v>45380</v>
      </c>
      <c r="G57" t="s">
        <v>33</v>
      </c>
      <c r="H57" t="s">
        <v>40</v>
      </c>
    </row>
    <row r="58" spans="1:8" x14ac:dyDescent="0.3">
      <c r="A58" t="s">
        <v>98</v>
      </c>
      <c r="B58" t="s">
        <v>22</v>
      </c>
      <c r="C58" t="s">
        <v>23</v>
      </c>
      <c r="D58">
        <v>12</v>
      </c>
      <c r="E58">
        <v>50</v>
      </c>
      <c r="F58" s="1">
        <v>44963</v>
      </c>
      <c r="G58" t="s">
        <v>51</v>
      </c>
      <c r="H58" t="s">
        <v>43</v>
      </c>
    </row>
    <row r="59" spans="1:8" x14ac:dyDescent="0.3">
      <c r="A59" t="s">
        <v>99</v>
      </c>
      <c r="B59" t="s">
        <v>39</v>
      </c>
      <c r="C59" t="s">
        <v>28</v>
      </c>
      <c r="D59">
        <v>13</v>
      </c>
      <c r="E59">
        <v>100</v>
      </c>
      <c r="F59" s="1">
        <v>45242</v>
      </c>
      <c r="G59" t="s">
        <v>51</v>
      </c>
      <c r="H59" t="s">
        <v>25</v>
      </c>
    </row>
    <row r="60" spans="1:8" x14ac:dyDescent="0.3">
      <c r="A60" t="s">
        <v>100</v>
      </c>
      <c r="B60" t="s">
        <v>22</v>
      </c>
      <c r="C60" t="s">
        <v>42</v>
      </c>
      <c r="D60">
        <v>10</v>
      </c>
      <c r="E60">
        <v>50</v>
      </c>
      <c r="F60" s="1">
        <v>45040</v>
      </c>
      <c r="G60" t="s">
        <v>24</v>
      </c>
      <c r="H60" t="s">
        <v>43</v>
      </c>
    </row>
    <row r="61" spans="1:8" x14ac:dyDescent="0.3">
      <c r="A61" t="s">
        <v>101</v>
      </c>
      <c r="B61" t="s">
        <v>39</v>
      </c>
      <c r="C61" t="s">
        <v>23</v>
      </c>
      <c r="D61">
        <v>10</v>
      </c>
      <c r="E61">
        <v>200</v>
      </c>
      <c r="F61" s="1">
        <v>44966</v>
      </c>
      <c r="G61" t="s">
        <v>33</v>
      </c>
      <c r="H61" t="s">
        <v>25</v>
      </c>
    </row>
    <row r="62" spans="1:8" x14ac:dyDescent="0.3">
      <c r="A62" t="s">
        <v>102</v>
      </c>
      <c r="B62" t="s">
        <v>39</v>
      </c>
      <c r="C62" t="s">
        <v>35</v>
      </c>
      <c r="D62">
        <v>10</v>
      </c>
      <c r="E62">
        <v>200</v>
      </c>
      <c r="F62" s="1">
        <v>45227</v>
      </c>
      <c r="G62" t="s">
        <v>47</v>
      </c>
      <c r="H62" t="s">
        <v>43</v>
      </c>
    </row>
    <row r="63" spans="1:8" x14ac:dyDescent="0.3">
      <c r="A63" t="s">
        <v>103</v>
      </c>
      <c r="B63" t="s">
        <v>22</v>
      </c>
      <c r="C63" t="s">
        <v>35</v>
      </c>
      <c r="D63">
        <v>2</v>
      </c>
      <c r="E63">
        <v>75</v>
      </c>
      <c r="F63" s="1">
        <v>45150</v>
      </c>
      <c r="G63" t="s">
        <v>51</v>
      </c>
      <c r="H63" t="s">
        <v>40</v>
      </c>
    </row>
    <row r="64" spans="1:8" x14ac:dyDescent="0.3">
      <c r="A64" t="s">
        <v>104</v>
      </c>
      <c r="B64" t="s">
        <v>27</v>
      </c>
      <c r="C64" t="s">
        <v>57</v>
      </c>
      <c r="D64">
        <v>14</v>
      </c>
      <c r="E64">
        <v>150</v>
      </c>
      <c r="F64" s="1">
        <v>45244</v>
      </c>
      <c r="G64" t="s">
        <v>51</v>
      </c>
      <c r="H64" t="s">
        <v>40</v>
      </c>
    </row>
    <row r="65" spans="1:8" x14ac:dyDescent="0.3">
      <c r="A65" t="s">
        <v>105</v>
      </c>
      <c r="B65" t="s">
        <v>39</v>
      </c>
      <c r="C65" t="s">
        <v>23</v>
      </c>
      <c r="D65">
        <v>8</v>
      </c>
      <c r="E65">
        <v>50</v>
      </c>
      <c r="F65" s="1">
        <v>45275</v>
      </c>
      <c r="G65" t="s">
        <v>29</v>
      </c>
      <c r="H65" t="s">
        <v>43</v>
      </c>
    </row>
    <row r="66" spans="1:8" x14ac:dyDescent="0.3">
      <c r="A66" t="s">
        <v>106</v>
      </c>
      <c r="B66" t="s">
        <v>39</v>
      </c>
      <c r="C66" t="s">
        <v>42</v>
      </c>
      <c r="D66">
        <v>6</v>
      </c>
      <c r="E66">
        <v>50</v>
      </c>
      <c r="F66" s="1">
        <v>45041</v>
      </c>
      <c r="G66" t="s">
        <v>47</v>
      </c>
      <c r="H66" t="s">
        <v>43</v>
      </c>
    </row>
    <row r="67" spans="1:8" x14ac:dyDescent="0.3">
      <c r="A67" t="s">
        <v>107</v>
      </c>
      <c r="B67" t="s">
        <v>22</v>
      </c>
      <c r="C67" t="s">
        <v>28</v>
      </c>
      <c r="D67">
        <v>6</v>
      </c>
      <c r="E67">
        <v>100</v>
      </c>
      <c r="F67" s="1">
        <v>45249</v>
      </c>
      <c r="G67" t="s">
        <v>47</v>
      </c>
      <c r="H67" t="s">
        <v>40</v>
      </c>
    </row>
    <row r="68" spans="1:8" x14ac:dyDescent="0.3">
      <c r="A68" t="s">
        <v>108</v>
      </c>
      <c r="B68" t="s">
        <v>39</v>
      </c>
      <c r="C68" t="s">
        <v>28</v>
      </c>
      <c r="D68">
        <v>14</v>
      </c>
      <c r="E68">
        <v>200</v>
      </c>
      <c r="F68" s="1">
        <v>44966</v>
      </c>
      <c r="G68" t="s">
        <v>51</v>
      </c>
      <c r="H68" t="s">
        <v>25</v>
      </c>
    </row>
    <row r="69" spans="1:8" x14ac:dyDescent="0.3">
      <c r="A69" t="s">
        <v>109</v>
      </c>
      <c r="B69" t="s">
        <v>39</v>
      </c>
      <c r="C69" t="s">
        <v>42</v>
      </c>
      <c r="D69">
        <v>10</v>
      </c>
      <c r="E69">
        <v>50</v>
      </c>
      <c r="F69" s="1">
        <v>44966</v>
      </c>
      <c r="G69" t="s">
        <v>24</v>
      </c>
      <c r="H69" t="s">
        <v>40</v>
      </c>
    </row>
    <row r="70" spans="1:8" x14ac:dyDescent="0.3">
      <c r="A70" t="s">
        <v>110</v>
      </c>
      <c r="B70" t="s">
        <v>22</v>
      </c>
      <c r="C70" t="s">
        <v>46</v>
      </c>
      <c r="D70">
        <v>5</v>
      </c>
      <c r="E70">
        <v>200</v>
      </c>
      <c r="F70" s="1">
        <v>45215</v>
      </c>
      <c r="G70" t="s">
        <v>29</v>
      </c>
      <c r="H70" t="s">
        <v>25</v>
      </c>
    </row>
    <row r="71" spans="1:8" x14ac:dyDescent="0.3">
      <c r="A71" t="s">
        <v>111</v>
      </c>
      <c r="B71" t="s">
        <v>22</v>
      </c>
      <c r="C71" t="s">
        <v>32</v>
      </c>
      <c r="D71">
        <v>7</v>
      </c>
      <c r="E71">
        <v>50</v>
      </c>
      <c r="F71" s="1">
        <v>45188</v>
      </c>
      <c r="G71" t="s">
        <v>47</v>
      </c>
      <c r="H71" t="s">
        <v>43</v>
      </c>
    </row>
    <row r="72" spans="1:8" x14ac:dyDescent="0.3">
      <c r="A72" t="s">
        <v>112</v>
      </c>
      <c r="B72" t="s">
        <v>60</v>
      </c>
      <c r="C72" t="s">
        <v>57</v>
      </c>
      <c r="D72">
        <v>3</v>
      </c>
      <c r="E72">
        <v>75</v>
      </c>
      <c r="F72" s="1">
        <v>45142</v>
      </c>
      <c r="G72" t="s">
        <v>51</v>
      </c>
      <c r="H72" t="s">
        <v>43</v>
      </c>
    </row>
    <row r="73" spans="1:8" x14ac:dyDescent="0.3">
      <c r="A73" t="s">
        <v>113</v>
      </c>
      <c r="B73" t="s">
        <v>27</v>
      </c>
      <c r="C73" t="s">
        <v>28</v>
      </c>
      <c r="D73">
        <v>7</v>
      </c>
      <c r="E73">
        <v>150</v>
      </c>
      <c r="F73" s="1">
        <v>45073</v>
      </c>
      <c r="G73" t="s">
        <v>47</v>
      </c>
      <c r="H73" t="s">
        <v>25</v>
      </c>
    </row>
    <row r="74" spans="1:8" x14ac:dyDescent="0.3">
      <c r="A74" t="s">
        <v>114</v>
      </c>
      <c r="B74" t="s">
        <v>27</v>
      </c>
      <c r="C74" t="s">
        <v>23</v>
      </c>
      <c r="D74">
        <v>3</v>
      </c>
      <c r="E74">
        <v>50</v>
      </c>
      <c r="F74" s="1">
        <v>45262</v>
      </c>
      <c r="G74" t="s">
        <v>29</v>
      </c>
      <c r="H74" t="s">
        <v>43</v>
      </c>
    </row>
    <row r="75" spans="1:8" x14ac:dyDescent="0.3">
      <c r="A75" t="s">
        <v>115</v>
      </c>
      <c r="B75" t="s">
        <v>39</v>
      </c>
      <c r="C75" t="s">
        <v>57</v>
      </c>
      <c r="D75">
        <v>7</v>
      </c>
      <c r="E75">
        <v>200</v>
      </c>
      <c r="F75" s="1">
        <v>45094</v>
      </c>
      <c r="G75" t="s">
        <v>29</v>
      </c>
      <c r="H75" t="s">
        <v>25</v>
      </c>
    </row>
    <row r="76" spans="1:8" x14ac:dyDescent="0.3">
      <c r="A76" t="s">
        <v>116</v>
      </c>
      <c r="B76" t="s">
        <v>27</v>
      </c>
      <c r="C76" t="s">
        <v>23</v>
      </c>
      <c r="D76">
        <v>8</v>
      </c>
      <c r="E76">
        <v>75</v>
      </c>
      <c r="F76" s="1">
        <v>45018</v>
      </c>
      <c r="G76" t="s">
        <v>33</v>
      </c>
      <c r="H76" t="s">
        <v>36</v>
      </c>
    </row>
    <row r="77" spans="1:8" x14ac:dyDescent="0.3">
      <c r="A77" t="s">
        <v>117</v>
      </c>
      <c r="B77" t="s">
        <v>39</v>
      </c>
      <c r="C77" t="s">
        <v>46</v>
      </c>
      <c r="D77">
        <v>2</v>
      </c>
      <c r="E77">
        <v>50</v>
      </c>
      <c r="F77" s="1">
        <v>45279</v>
      </c>
      <c r="G77" t="s">
        <v>51</v>
      </c>
      <c r="H77" t="s">
        <v>40</v>
      </c>
    </row>
    <row r="78" spans="1:8" x14ac:dyDescent="0.3">
      <c r="A78" t="s">
        <v>118</v>
      </c>
      <c r="B78" t="s">
        <v>60</v>
      </c>
      <c r="C78" t="s">
        <v>35</v>
      </c>
      <c r="D78">
        <v>2</v>
      </c>
      <c r="E78">
        <v>100</v>
      </c>
      <c r="F78" s="1">
        <v>45289</v>
      </c>
      <c r="G78" t="s">
        <v>29</v>
      </c>
      <c r="H78" t="s">
        <v>36</v>
      </c>
    </row>
    <row r="79" spans="1:8" x14ac:dyDescent="0.3">
      <c r="A79" t="s">
        <v>119</v>
      </c>
      <c r="B79" t="s">
        <v>22</v>
      </c>
      <c r="C79" t="s">
        <v>57</v>
      </c>
      <c r="D79">
        <v>10</v>
      </c>
      <c r="E79">
        <v>150</v>
      </c>
      <c r="F79" s="1">
        <v>45271</v>
      </c>
      <c r="G79" t="s">
        <v>33</v>
      </c>
      <c r="H79" t="s">
        <v>25</v>
      </c>
    </row>
    <row r="80" spans="1:8" x14ac:dyDescent="0.3">
      <c r="A80" t="s">
        <v>120</v>
      </c>
      <c r="B80" t="s">
        <v>22</v>
      </c>
      <c r="C80" t="s">
        <v>28</v>
      </c>
      <c r="D80">
        <v>12</v>
      </c>
      <c r="E80">
        <v>50</v>
      </c>
      <c r="F80" s="1">
        <v>45096</v>
      </c>
      <c r="G80" t="s">
        <v>33</v>
      </c>
      <c r="H80" t="s">
        <v>40</v>
      </c>
    </row>
    <row r="81" spans="1:8" x14ac:dyDescent="0.3">
      <c r="A81" t="s">
        <v>121</v>
      </c>
      <c r="B81" t="s">
        <v>22</v>
      </c>
      <c r="C81" t="s">
        <v>57</v>
      </c>
      <c r="D81">
        <v>1</v>
      </c>
      <c r="E81">
        <v>75</v>
      </c>
      <c r="F81" s="1">
        <v>45282</v>
      </c>
      <c r="G81" t="s">
        <v>47</v>
      </c>
      <c r="H81" t="s">
        <v>25</v>
      </c>
    </row>
    <row r="82" spans="1:8" x14ac:dyDescent="0.3">
      <c r="A82" t="s">
        <v>122</v>
      </c>
      <c r="B82" t="s">
        <v>27</v>
      </c>
      <c r="C82" t="s">
        <v>57</v>
      </c>
      <c r="D82">
        <v>12</v>
      </c>
      <c r="E82">
        <v>100</v>
      </c>
      <c r="F82" s="1">
        <v>45117</v>
      </c>
      <c r="G82" t="s">
        <v>47</v>
      </c>
      <c r="H82" t="s">
        <v>40</v>
      </c>
    </row>
    <row r="83" spans="1:8" x14ac:dyDescent="0.3">
      <c r="A83" t="s">
        <v>123</v>
      </c>
      <c r="B83" t="s">
        <v>60</v>
      </c>
      <c r="C83" t="s">
        <v>57</v>
      </c>
      <c r="D83">
        <v>9</v>
      </c>
      <c r="E83">
        <v>75</v>
      </c>
      <c r="F83" s="1">
        <v>45348</v>
      </c>
      <c r="G83" t="s">
        <v>33</v>
      </c>
      <c r="H83" t="s">
        <v>40</v>
      </c>
    </row>
    <row r="84" spans="1:8" x14ac:dyDescent="0.3">
      <c r="A84" t="s">
        <v>124</v>
      </c>
      <c r="B84" t="s">
        <v>27</v>
      </c>
      <c r="C84" t="s">
        <v>32</v>
      </c>
      <c r="D84">
        <v>2</v>
      </c>
      <c r="E84">
        <v>75</v>
      </c>
      <c r="F84" s="1">
        <v>44933</v>
      </c>
      <c r="G84" t="s">
        <v>47</v>
      </c>
      <c r="H84" t="s">
        <v>40</v>
      </c>
    </row>
    <row r="85" spans="1:8" x14ac:dyDescent="0.3">
      <c r="A85" t="s">
        <v>125</v>
      </c>
      <c r="B85" t="s">
        <v>27</v>
      </c>
      <c r="C85" t="s">
        <v>57</v>
      </c>
      <c r="D85">
        <v>2</v>
      </c>
      <c r="E85">
        <v>100</v>
      </c>
      <c r="F85" s="1">
        <v>45059</v>
      </c>
      <c r="G85" t="s">
        <v>29</v>
      </c>
      <c r="H85" t="s">
        <v>40</v>
      </c>
    </row>
    <row r="86" spans="1:8" x14ac:dyDescent="0.3">
      <c r="A86" t="s">
        <v>126</v>
      </c>
      <c r="B86" t="s">
        <v>60</v>
      </c>
      <c r="C86" t="s">
        <v>23</v>
      </c>
      <c r="D86">
        <v>4</v>
      </c>
      <c r="E86">
        <v>75</v>
      </c>
      <c r="F86" s="1">
        <v>44957</v>
      </c>
      <c r="G86" t="s">
        <v>24</v>
      </c>
      <c r="H86" t="s">
        <v>25</v>
      </c>
    </row>
    <row r="87" spans="1:8" x14ac:dyDescent="0.3">
      <c r="A87" t="s">
        <v>127</v>
      </c>
      <c r="B87" t="s">
        <v>60</v>
      </c>
      <c r="C87" t="s">
        <v>35</v>
      </c>
      <c r="D87">
        <v>4</v>
      </c>
      <c r="E87">
        <v>100</v>
      </c>
      <c r="F87" s="1">
        <v>45461</v>
      </c>
      <c r="G87" t="s">
        <v>29</v>
      </c>
      <c r="H87" t="s">
        <v>40</v>
      </c>
    </row>
    <row r="88" spans="1:8" x14ac:dyDescent="0.3">
      <c r="A88" t="s">
        <v>128</v>
      </c>
      <c r="B88" t="s">
        <v>60</v>
      </c>
      <c r="C88" t="s">
        <v>46</v>
      </c>
      <c r="D88">
        <v>1</v>
      </c>
      <c r="E88">
        <v>50</v>
      </c>
      <c r="F88" s="1">
        <v>45352</v>
      </c>
      <c r="G88" t="s">
        <v>33</v>
      </c>
      <c r="H88" t="s">
        <v>40</v>
      </c>
    </row>
    <row r="89" spans="1:8" x14ac:dyDescent="0.3">
      <c r="A89" t="s">
        <v>129</v>
      </c>
      <c r="B89" t="s">
        <v>60</v>
      </c>
      <c r="C89" t="s">
        <v>42</v>
      </c>
      <c r="D89">
        <v>11</v>
      </c>
      <c r="E89">
        <v>100</v>
      </c>
      <c r="F89" s="1">
        <v>45320</v>
      </c>
      <c r="G89" t="s">
        <v>33</v>
      </c>
      <c r="H89" t="s">
        <v>36</v>
      </c>
    </row>
    <row r="90" spans="1:8" x14ac:dyDescent="0.3">
      <c r="A90" t="s">
        <v>130</v>
      </c>
      <c r="B90" t="s">
        <v>22</v>
      </c>
      <c r="C90" t="s">
        <v>57</v>
      </c>
      <c r="D90">
        <v>9</v>
      </c>
      <c r="E90">
        <v>100</v>
      </c>
      <c r="F90" s="1">
        <v>45289</v>
      </c>
      <c r="G90" t="s">
        <v>29</v>
      </c>
      <c r="H90" t="s">
        <v>43</v>
      </c>
    </row>
    <row r="91" spans="1:8" x14ac:dyDescent="0.3">
      <c r="A91" t="s">
        <v>131</v>
      </c>
      <c r="B91" t="s">
        <v>31</v>
      </c>
      <c r="C91" t="s">
        <v>28</v>
      </c>
      <c r="D91">
        <v>12</v>
      </c>
      <c r="E91">
        <v>150</v>
      </c>
      <c r="F91" s="1">
        <v>45363</v>
      </c>
      <c r="G91" t="s">
        <v>47</v>
      </c>
      <c r="H91" t="s">
        <v>43</v>
      </c>
    </row>
    <row r="92" spans="1:8" x14ac:dyDescent="0.3">
      <c r="A92" t="s">
        <v>132</v>
      </c>
      <c r="B92" t="s">
        <v>31</v>
      </c>
      <c r="C92" t="s">
        <v>57</v>
      </c>
      <c r="D92">
        <v>5</v>
      </c>
      <c r="E92">
        <v>100</v>
      </c>
      <c r="F92" s="1">
        <v>45008</v>
      </c>
      <c r="G92" t="s">
        <v>47</v>
      </c>
      <c r="H92" t="s">
        <v>36</v>
      </c>
    </row>
    <row r="93" spans="1:8" x14ac:dyDescent="0.3">
      <c r="A93" t="s">
        <v>133</v>
      </c>
      <c r="B93" t="s">
        <v>60</v>
      </c>
      <c r="C93" t="s">
        <v>28</v>
      </c>
      <c r="D93">
        <v>4</v>
      </c>
      <c r="E93">
        <v>100</v>
      </c>
      <c r="F93" s="1">
        <v>45282</v>
      </c>
      <c r="G93" t="s">
        <v>33</v>
      </c>
      <c r="H93" t="s">
        <v>36</v>
      </c>
    </row>
    <row r="94" spans="1:8" x14ac:dyDescent="0.3">
      <c r="A94" t="s">
        <v>134</v>
      </c>
      <c r="B94" t="s">
        <v>31</v>
      </c>
      <c r="C94" t="s">
        <v>23</v>
      </c>
      <c r="D94">
        <v>5</v>
      </c>
      <c r="E94">
        <v>50</v>
      </c>
      <c r="F94" s="1">
        <v>45184</v>
      </c>
      <c r="G94" t="s">
        <v>51</v>
      </c>
      <c r="H94" t="s">
        <v>25</v>
      </c>
    </row>
    <row r="95" spans="1:8" x14ac:dyDescent="0.3">
      <c r="A95" t="s">
        <v>135</v>
      </c>
      <c r="B95" t="s">
        <v>31</v>
      </c>
      <c r="C95" t="s">
        <v>28</v>
      </c>
      <c r="D95">
        <v>0</v>
      </c>
      <c r="E95">
        <v>150</v>
      </c>
      <c r="F95" s="1">
        <v>45450</v>
      </c>
      <c r="G95" t="s">
        <v>47</v>
      </c>
      <c r="H95" t="s">
        <v>25</v>
      </c>
    </row>
    <row r="96" spans="1:8" x14ac:dyDescent="0.3">
      <c r="A96" t="s">
        <v>136</v>
      </c>
      <c r="B96" t="s">
        <v>60</v>
      </c>
      <c r="C96" t="s">
        <v>42</v>
      </c>
      <c r="D96">
        <v>4</v>
      </c>
      <c r="E96">
        <v>200</v>
      </c>
      <c r="F96" s="1">
        <v>45221</v>
      </c>
      <c r="G96" t="s">
        <v>29</v>
      </c>
      <c r="H96" t="s">
        <v>25</v>
      </c>
    </row>
    <row r="97" spans="1:8" x14ac:dyDescent="0.3">
      <c r="A97" t="s">
        <v>137</v>
      </c>
      <c r="B97" t="s">
        <v>31</v>
      </c>
      <c r="C97" t="s">
        <v>35</v>
      </c>
      <c r="D97">
        <v>8</v>
      </c>
      <c r="E97">
        <v>50</v>
      </c>
      <c r="F97" s="1">
        <v>45150</v>
      </c>
      <c r="G97" t="s">
        <v>47</v>
      </c>
      <c r="H97" t="s">
        <v>36</v>
      </c>
    </row>
    <row r="98" spans="1:8" x14ac:dyDescent="0.3">
      <c r="A98" t="s">
        <v>138</v>
      </c>
      <c r="B98" t="s">
        <v>27</v>
      </c>
      <c r="C98" t="s">
        <v>28</v>
      </c>
      <c r="D98">
        <v>11</v>
      </c>
      <c r="E98">
        <v>50</v>
      </c>
      <c r="F98" s="1">
        <v>45451</v>
      </c>
      <c r="G98" t="s">
        <v>29</v>
      </c>
      <c r="H98" t="s">
        <v>36</v>
      </c>
    </row>
    <row r="99" spans="1:8" x14ac:dyDescent="0.3">
      <c r="A99" t="s">
        <v>139</v>
      </c>
      <c r="B99" t="s">
        <v>39</v>
      </c>
      <c r="C99" t="s">
        <v>28</v>
      </c>
      <c r="D99">
        <v>9</v>
      </c>
      <c r="E99">
        <v>200</v>
      </c>
      <c r="F99" s="1">
        <v>44972</v>
      </c>
      <c r="G99" t="s">
        <v>33</v>
      </c>
      <c r="H99" t="s">
        <v>40</v>
      </c>
    </row>
    <row r="100" spans="1:8" x14ac:dyDescent="0.3">
      <c r="A100" t="s">
        <v>140</v>
      </c>
      <c r="B100" t="s">
        <v>39</v>
      </c>
      <c r="C100" t="s">
        <v>35</v>
      </c>
      <c r="D100">
        <v>13</v>
      </c>
      <c r="E100">
        <v>100</v>
      </c>
      <c r="F100" s="1">
        <v>45039</v>
      </c>
      <c r="G100" t="s">
        <v>47</v>
      </c>
      <c r="H100" t="s">
        <v>25</v>
      </c>
    </row>
    <row r="101" spans="1:8" x14ac:dyDescent="0.3">
      <c r="A101" t="s">
        <v>141</v>
      </c>
      <c r="B101" t="s">
        <v>60</v>
      </c>
      <c r="C101" t="s">
        <v>42</v>
      </c>
      <c r="D101">
        <v>1</v>
      </c>
      <c r="E101">
        <v>75</v>
      </c>
      <c r="F101" s="1">
        <v>45159</v>
      </c>
      <c r="G101" t="s">
        <v>29</v>
      </c>
      <c r="H101" t="s">
        <v>25</v>
      </c>
    </row>
    <row r="102" spans="1:8" x14ac:dyDescent="0.3">
      <c r="A102" t="s">
        <v>142</v>
      </c>
      <c r="B102" t="s">
        <v>22</v>
      </c>
      <c r="C102" t="s">
        <v>57</v>
      </c>
      <c r="D102">
        <v>0</v>
      </c>
      <c r="E102">
        <v>150</v>
      </c>
      <c r="F102" s="1">
        <v>44943</v>
      </c>
      <c r="G102" t="s">
        <v>33</v>
      </c>
      <c r="H102" t="s">
        <v>25</v>
      </c>
    </row>
    <row r="103" spans="1:8" x14ac:dyDescent="0.3">
      <c r="A103" t="s">
        <v>143</v>
      </c>
      <c r="B103" t="s">
        <v>60</v>
      </c>
      <c r="C103" t="s">
        <v>28</v>
      </c>
      <c r="D103">
        <v>13</v>
      </c>
      <c r="E103">
        <v>75</v>
      </c>
      <c r="F103" s="1">
        <v>45286</v>
      </c>
      <c r="G103" t="s">
        <v>51</v>
      </c>
      <c r="H103" t="s">
        <v>43</v>
      </c>
    </row>
    <row r="104" spans="1:8" x14ac:dyDescent="0.3">
      <c r="A104" t="s">
        <v>144</v>
      </c>
      <c r="B104" t="s">
        <v>22</v>
      </c>
      <c r="C104" t="s">
        <v>35</v>
      </c>
      <c r="D104">
        <v>9</v>
      </c>
      <c r="E104">
        <v>200</v>
      </c>
      <c r="F104" s="1">
        <v>45149</v>
      </c>
      <c r="G104" t="s">
        <v>29</v>
      </c>
      <c r="H104" t="s">
        <v>40</v>
      </c>
    </row>
    <row r="105" spans="1:8" x14ac:dyDescent="0.3">
      <c r="A105" t="s">
        <v>145</v>
      </c>
      <c r="B105" t="s">
        <v>39</v>
      </c>
      <c r="C105" t="s">
        <v>23</v>
      </c>
      <c r="D105">
        <v>12</v>
      </c>
      <c r="E105">
        <v>50</v>
      </c>
      <c r="F105" s="1">
        <v>45374</v>
      </c>
      <c r="G105" t="s">
        <v>51</v>
      </c>
      <c r="H105" t="s">
        <v>25</v>
      </c>
    </row>
    <row r="106" spans="1:8" x14ac:dyDescent="0.3">
      <c r="A106" t="s">
        <v>146</v>
      </c>
      <c r="B106" t="s">
        <v>60</v>
      </c>
      <c r="C106" t="s">
        <v>35</v>
      </c>
      <c r="D106">
        <v>10</v>
      </c>
      <c r="E106">
        <v>50</v>
      </c>
      <c r="F106" s="1">
        <v>45291</v>
      </c>
      <c r="G106" t="s">
        <v>51</v>
      </c>
      <c r="H106" t="s">
        <v>25</v>
      </c>
    </row>
    <row r="107" spans="1:8" x14ac:dyDescent="0.3">
      <c r="A107" t="s">
        <v>147</v>
      </c>
      <c r="B107" t="s">
        <v>27</v>
      </c>
      <c r="C107" t="s">
        <v>23</v>
      </c>
      <c r="D107">
        <v>8</v>
      </c>
      <c r="E107">
        <v>150</v>
      </c>
      <c r="F107" s="1">
        <v>45252</v>
      </c>
      <c r="G107" t="s">
        <v>24</v>
      </c>
      <c r="H107" t="s">
        <v>25</v>
      </c>
    </row>
    <row r="108" spans="1:8" x14ac:dyDescent="0.3">
      <c r="A108" t="s">
        <v>148</v>
      </c>
      <c r="B108" t="s">
        <v>31</v>
      </c>
      <c r="C108" t="s">
        <v>42</v>
      </c>
      <c r="D108">
        <v>9</v>
      </c>
      <c r="E108">
        <v>50</v>
      </c>
      <c r="F108" s="1">
        <v>45393</v>
      </c>
      <c r="G108" t="s">
        <v>47</v>
      </c>
      <c r="H108" t="s">
        <v>43</v>
      </c>
    </row>
    <row r="109" spans="1:8" x14ac:dyDescent="0.3">
      <c r="A109" t="s">
        <v>149</v>
      </c>
      <c r="B109" t="s">
        <v>22</v>
      </c>
      <c r="C109" t="s">
        <v>57</v>
      </c>
      <c r="D109">
        <v>8</v>
      </c>
      <c r="E109">
        <v>50</v>
      </c>
      <c r="F109" s="1">
        <v>45340</v>
      </c>
      <c r="G109" t="s">
        <v>29</v>
      </c>
      <c r="H109" t="s">
        <v>43</v>
      </c>
    </row>
    <row r="110" spans="1:8" x14ac:dyDescent="0.3">
      <c r="A110" t="s">
        <v>150</v>
      </c>
      <c r="B110" t="s">
        <v>31</v>
      </c>
      <c r="C110" t="s">
        <v>35</v>
      </c>
      <c r="D110">
        <v>14</v>
      </c>
      <c r="E110">
        <v>150</v>
      </c>
      <c r="F110" s="1">
        <v>45381</v>
      </c>
      <c r="G110" t="s">
        <v>51</v>
      </c>
      <c r="H110" t="s">
        <v>36</v>
      </c>
    </row>
    <row r="111" spans="1:8" x14ac:dyDescent="0.3">
      <c r="A111" t="s">
        <v>151</v>
      </c>
      <c r="B111" t="s">
        <v>31</v>
      </c>
      <c r="C111" t="s">
        <v>46</v>
      </c>
      <c r="D111">
        <v>8</v>
      </c>
      <c r="E111">
        <v>150</v>
      </c>
      <c r="F111" s="1">
        <v>45159</v>
      </c>
      <c r="G111" t="s">
        <v>24</v>
      </c>
      <c r="H111" t="s">
        <v>40</v>
      </c>
    </row>
    <row r="112" spans="1:8" x14ac:dyDescent="0.3">
      <c r="A112" t="s">
        <v>152</v>
      </c>
      <c r="B112" t="s">
        <v>60</v>
      </c>
      <c r="C112" t="s">
        <v>46</v>
      </c>
      <c r="D112">
        <v>5</v>
      </c>
      <c r="E112">
        <v>200</v>
      </c>
      <c r="F112" s="1">
        <v>45150</v>
      </c>
      <c r="G112" t="s">
        <v>33</v>
      </c>
      <c r="H112" t="s">
        <v>36</v>
      </c>
    </row>
    <row r="113" spans="1:8" x14ac:dyDescent="0.3">
      <c r="A113" t="s">
        <v>153</v>
      </c>
      <c r="B113" t="s">
        <v>31</v>
      </c>
      <c r="C113" t="s">
        <v>32</v>
      </c>
      <c r="D113">
        <v>14</v>
      </c>
      <c r="E113">
        <v>50</v>
      </c>
      <c r="F113" s="1">
        <v>45338</v>
      </c>
      <c r="G113" t="s">
        <v>29</v>
      </c>
      <c r="H113" t="s">
        <v>40</v>
      </c>
    </row>
    <row r="114" spans="1:8" x14ac:dyDescent="0.3">
      <c r="A114" t="s">
        <v>154</v>
      </c>
      <c r="B114" t="s">
        <v>27</v>
      </c>
      <c r="C114" t="s">
        <v>28</v>
      </c>
      <c r="D114">
        <v>7</v>
      </c>
      <c r="E114">
        <v>50</v>
      </c>
      <c r="F114" s="1">
        <v>45261</v>
      </c>
      <c r="G114" t="s">
        <v>51</v>
      </c>
      <c r="H114" t="s">
        <v>43</v>
      </c>
    </row>
    <row r="115" spans="1:8" x14ac:dyDescent="0.3">
      <c r="A115" t="s">
        <v>155</v>
      </c>
      <c r="B115" t="s">
        <v>31</v>
      </c>
      <c r="C115" t="s">
        <v>42</v>
      </c>
      <c r="D115">
        <v>13</v>
      </c>
      <c r="E115">
        <v>200</v>
      </c>
      <c r="F115" s="1">
        <v>45148</v>
      </c>
      <c r="G115" t="s">
        <v>47</v>
      </c>
      <c r="H115" t="s">
        <v>25</v>
      </c>
    </row>
    <row r="116" spans="1:8" x14ac:dyDescent="0.3">
      <c r="A116" t="s">
        <v>156</v>
      </c>
      <c r="B116" t="s">
        <v>60</v>
      </c>
      <c r="C116" t="s">
        <v>35</v>
      </c>
      <c r="D116">
        <v>10</v>
      </c>
      <c r="E116">
        <v>100</v>
      </c>
      <c r="F116" s="1">
        <v>44963</v>
      </c>
      <c r="G116" t="s">
        <v>24</v>
      </c>
      <c r="H116" t="s">
        <v>36</v>
      </c>
    </row>
    <row r="117" spans="1:8" x14ac:dyDescent="0.3">
      <c r="A117" t="s">
        <v>157</v>
      </c>
      <c r="B117" t="s">
        <v>27</v>
      </c>
      <c r="C117" t="s">
        <v>46</v>
      </c>
      <c r="D117">
        <v>14</v>
      </c>
      <c r="E117">
        <v>100</v>
      </c>
      <c r="F117" s="1">
        <v>45204</v>
      </c>
      <c r="G117" t="s">
        <v>51</v>
      </c>
      <c r="H117" t="s">
        <v>25</v>
      </c>
    </row>
    <row r="118" spans="1:8" x14ac:dyDescent="0.3">
      <c r="A118" t="s">
        <v>158</v>
      </c>
      <c r="B118" t="s">
        <v>39</v>
      </c>
      <c r="C118" t="s">
        <v>28</v>
      </c>
      <c r="D118">
        <v>12</v>
      </c>
      <c r="E118">
        <v>100</v>
      </c>
      <c r="F118" s="1">
        <v>45122</v>
      </c>
      <c r="G118" t="s">
        <v>47</v>
      </c>
      <c r="H118" t="s">
        <v>36</v>
      </c>
    </row>
    <row r="119" spans="1:8" x14ac:dyDescent="0.3">
      <c r="A119" t="s">
        <v>159</v>
      </c>
      <c r="B119" t="s">
        <v>31</v>
      </c>
      <c r="C119" t="s">
        <v>46</v>
      </c>
      <c r="D119">
        <v>0</v>
      </c>
      <c r="E119">
        <v>200</v>
      </c>
      <c r="F119" s="1">
        <v>45410</v>
      </c>
      <c r="G119" t="s">
        <v>51</v>
      </c>
      <c r="H119" t="s">
        <v>43</v>
      </c>
    </row>
    <row r="120" spans="1:8" x14ac:dyDescent="0.3">
      <c r="A120" t="s">
        <v>160</v>
      </c>
      <c r="B120" t="s">
        <v>60</v>
      </c>
      <c r="C120" t="s">
        <v>35</v>
      </c>
      <c r="D120">
        <v>9</v>
      </c>
      <c r="E120">
        <v>50</v>
      </c>
      <c r="F120" s="1">
        <v>45168</v>
      </c>
      <c r="G120" t="s">
        <v>29</v>
      </c>
      <c r="H120" t="s">
        <v>43</v>
      </c>
    </row>
    <row r="121" spans="1:8" x14ac:dyDescent="0.3">
      <c r="A121" t="s">
        <v>161</v>
      </c>
      <c r="B121" t="s">
        <v>39</v>
      </c>
      <c r="C121" t="s">
        <v>23</v>
      </c>
      <c r="D121">
        <v>3</v>
      </c>
      <c r="E121">
        <v>200</v>
      </c>
      <c r="F121" s="1">
        <v>45250</v>
      </c>
      <c r="G121" t="s">
        <v>29</v>
      </c>
      <c r="H121" t="s">
        <v>43</v>
      </c>
    </row>
    <row r="122" spans="1:8" x14ac:dyDescent="0.3">
      <c r="A122" t="s">
        <v>162</v>
      </c>
      <c r="B122" t="s">
        <v>39</v>
      </c>
      <c r="C122" t="s">
        <v>35</v>
      </c>
      <c r="D122">
        <v>0</v>
      </c>
      <c r="E122">
        <v>200</v>
      </c>
      <c r="F122" s="1">
        <v>45118</v>
      </c>
      <c r="G122" t="s">
        <v>29</v>
      </c>
      <c r="H122" t="s">
        <v>36</v>
      </c>
    </row>
    <row r="123" spans="1:8" x14ac:dyDescent="0.3">
      <c r="A123" t="s">
        <v>163</v>
      </c>
      <c r="B123" t="s">
        <v>22</v>
      </c>
      <c r="C123" t="s">
        <v>32</v>
      </c>
      <c r="D123">
        <v>7</v>
      </c>
      <c r="E123">
        <v>100</v>
      </c>
      <c r="F123" s="1">
        <v>44943</v>
      </c>
      <c r="G123" t="s">
        <v>24</v>
      </c>
      <c r="H123" t="s">
        <v>40</v>
      </c>
    </row>
    <row r="124" spans="1:8" x14ac:dyDescent="0.3">
      <c r="A124" t="s">
        <v>164</v>
      </c>
      <c r="B124" t="s">
        <v>27</v>
      </c>
      <c r="C124" t="s">
        <v>35</v>
      </c>
      <c r="D124">
        <v>0</v>
      </c>
      <c r="E124">
        <v>75</v>
      </c>
      <c r="F124" s="1">
        <v>45450</v>
      </c>
      <c r="G124" t="s">
        <v>29</v>
      </c>
      <c r="H124" t="s">
        <v>36</v>
      </c>
    </row>
    <row r="125" spans="1:8" x14ac:dyDescent="0.3">
      <c r="A125" t="s">
        <v>165</v>
      </c>
      <c r="B125" t="s">
        <v>31</v>
      </c>
      <c r="C125" t="s">
        <v>35</v>
      </c>
      <c r="D125">
        <v>2</v>
      </c>
      <c r="E125">
        <v>50</v>
      </c>
      <c r="F125" s="1">
        <v>45327</v>
      </c>
      <c r="G125" t="s">
        <v>47</v>
      </c>
      <c r="H125" t="s">
        <v>40</v>
      </c>
    </row>
    <row r="126" spans="1:8" x14ac:dyDescent="0.3">
      <c r="A126" t="s">
        <v>166</v>
      </c>
      <c r="B126" t="s">
        <v>60</v>
      </c>
      <c r="C126" t="s">
        <v>32</v>
      </c>
      <c r="D126">
        <v>12</v>
      </c>
      <c r="E126">
        <v>100</v>
      </c>
      <c r="F126" s="1">
        <v>44948</v>
      </c>
      <c r="G126" t="s">
        <v>51</v>
      </c>
      <c r="H126" t="s">
        <v>36</v>
      </c>
    </row>
    <row r="127" spans="1:8" x14ac:dyDescent="0.3">
      <c r="A127" t="s">
        <v>167</v>
      </c>
      <c r="B127" t="s">
        <v>22</v>
      </c>
      <c r="C127" t="s">
        <v>42</v>
      </c>
      <c r="D127">
        <v>3</v>
      </c>
      <c r="E127">
        <v>75</v>
      </c>
      <c r="F127" s="1">
        <v>45400</v>
      </c>
      <c r="G127" t="s">
        <v>33</v>
      </c>
      <c r="H127" t="s">
        <v>36</v>
      </c>
    </row>
    <row r="128" spans="1:8" x14ac:dyDescent="0.3">
      <c r="A128" t="s">
        <v>168</v>
      </c>
      <c r="B128" t="s">
        <v>27</v>
      </c>
      <c r="C128" t="s">
        <v>35</v>
      </c>
      <c r="D128">
        <v>14</v>
      </c>
      <c r="E128">
        <v>75</v>
      </c>
      <c r="F128" s="1">
        <v>45046</v>
      </c>
      <c r="G128" t="s">
        <v>47</v>
      </c>
      <c r="H128" t="s">
        <v>43</v>
      </c>
    </row>
    <row r="129" spans="1:8" x14ac:dyDescent="0.3">
      <c r="A129" t="s">
        <v>169</v>
      </c>
      <c r="B129" t="s">
        <v>22</v>
      </c>
      <c r="C129" t="s">
        <v>32</v>
      </c>
      <c r="D129">
        <v>14</v>
      </c>
      <c r="E129">
        <v>150</v>
      </c>
      <c r="F129" s="1">
        <v>45136</v>
      </c>
      <c r="G129" t="s">
        <v>47</v>
      </c>
      <c r="H129" t="s">
        <v>25</v>
      </c>
    </row>
    <row r="130" spans="1:8" x14ac:dyDescent="0.3">
      <c r="A130" t="s">
        <v>170</v>
      </c>
      <c r="B130" t="s">
        <v>27</v>
      </c>
      <c r="C130" t="s">
        <v>28</v>
      </c>
      <c r="D130">
        <v>14</v>
      </c>
      <c r="E130">
        <v>50</v>
      </c>
      <c r="F130" s="1">
        <v>45232</v>
      </c>
      <c r="G130" t="s">
        <v>29</v>
      </c>
      <c r="H130" t="s">
        <v>25</v>
      </c>
    </row>
    <row r="131" spans="1:8" x14ac:dyDescent="0.3">
      <c r="A131" t="s">
        <v>171</v>
      </c>
      <c r="B131" t="s">
        <v>27</v>
      </c>
      <c r="C131" t="s">
        <v>23</v>
      </c>
      <c r="D131">
        <v>7</v>
      </c>
      <c r="E131">
        <v>75</v>
      </c>
      <c r="F131" s="1">
        <v>45196</v>
      </c>
      <c r="G131" t="s">
        <v>24</v>
      </c>
      <c r="H131" t="s">
        <v>40</v>
      </c>
    </row>
    <row r="132" spans="1:8" x14ac:dyDescent="0.3">
      <c r="A132" t="s">
        <v>172</v>
      </c>
      <c r="B132" t="s">
        <v>31</v>
      </c>
      <c r="C132" t="s">
        <v>23</v>
      </c>
      <c r="D132">
        <v>5</v>
      </c>
      <c r="E132">
        <v>100</v>
      </c>
      <c r="F132" s="1">
        <v>45211</v>
      </c>
      <c r="G132" t="s">
        <v>51</v>
      </c>
      <c r="H132" t="s">
        <v>25</v>
      </c>
    </row>
    <row r="133" spans="1:8" x14ac:dyDescent="0.3">
      <c r="A133" t="s">
        <v>173</v>
      </c>
      <c r="B133" t="s">
        <v>27</v>
      </c>
      <c r="C133" t="s">
        <v>35</v>
      </c>
      <c r="D133">
        <v>13</v>
      </c>
      <c r="E133">
        <v>150</v>
      </c>
      <c r="F133" s="1">
        <v>45153</v>
      </c>
      <c r="G133" t="s">
        <v>24</v>
      </c>
      <c r="H133" t="s">
        <v>36</v>
      </c>
    </row>
    <row r="134" spans="1:8" x14ac:dyDescent="0.3">
      <c r="A134" t="s">
        <v>174</v>
      </c>
      <c r="B134" t="s">
        <v>22</v>
      </c>
      <c r="C134" t="s">
        <v>42</v>
      </c>
      <c r="D134">
        <v>9</v>
      </c>
      <c r="E134">
        <v>50</v>
      </c>
      <c r="F134" s="1">
        <v>45307</v>
      </c>
      <c r="G134" t="s">
        <v>51</v>
      </c>
      <c r="H134" t="s">
        <v>36</v>
      </c>
    </row>
    <row r="135" spans="1:8" x14ac:dyDescent="0.3">
      <c r="A135" t="s">
        <v>175</v>
      </c>
      <c r="B135" t="s">
        <v>27</v>
      </c>
      <c r="C135" t="s">
        <v>42</v>
      </c>
      <c r="D135">
        <v>11</v>
      </c>
      <c r="E135">
        <v>200</v>
      </c>
      <c r="F135" s="1">
        <v>45386</v>
      </c>
      <c r="G135" t="s">
        <v>51</v>
      </c>
      <c r="H135" t="s">
        <v>43</v>
      </c>
    </row>
    <row r="136" spans="1:8" x14ac:dyDescent="0.3">
      <c r="A136" t="s">
        <v>176</v>
      </c>
      <c r="B136" t="s">
        <v>31</v>
      </c>
      <c r="C136" t="s">
        <v>28</v>
      </c>
      <c r="D136">
        <v>6</v>
      </c>
      <c r="E136">
        <v>100</v>
      </c>
      <c r="F136" s="1">
        <v>44933</v>
      </c>
      <c r="G136" t="s">
        <v>24</v>
      </c>
      <c r="H136" t="s">
        <v>43</v>
      </c>
    </row>
    <row r="137" spans="1:8" x14ac:dyDescent="0.3">
      <c r="A137" t="s">
        <v>177</v>
      </c>
      <c r="B137" t="s">
        <v>31</v>
      </c>
      <c r="C137" t="s">
        <v>35</v>
      </c>
      <c r="D137">
        <v>13</v>
      </c>
      <c r="E137">
        <v>75</v>
      </c>
      <c r="F137" s="1">
        <v>44955</v>
      </c>
      <c r="G137" t="s">
        <v>47</v>
      </c>
      <c r="H137" t="s">
        <v>25</v>
      </c>
    </row>
    <row r="138" spans="1:8" x14ac:dyDescent="0.3">
      <c r="A138" t="s">
        <v>178</v>
      </c>
      <c r="B138" t="s">
        <v>22</v>
      </c>
      <c r="C138" t="s">
        <v>23</v>
      </c>
      <c r="D138">
        <v>7</v>
      </c>
      <c r="E138">
        <v>75</v>
      </c>
      <c r="F138" s="1">
        <v>44959</v>
      </c>
      <c r="G138" t="s">
        <v>51</v>
      </c>
      <c r="H138" t="s">
        <v>40</v>
      </c>
    </row>
    <row r="139" spans="1:8" x14ac:dyDescent="0.3">
      <c r="A139" t="s">
        <v>179</v>
      </c>
      <c r="B139" t="s">
        <v>39</v>
      </c>
      <c r="C139" t="s">
        <v>42</v>
      </c>
      <c r="D139">
        <v>1</v>
      </c>
      <c r="E139">
        <v>100</v>
      </c>
      <c r="F139" s="1">
        <v>45005</v>
      </c>
      <c r="G139" t="s">
        <v>24</v>
      </c>
      <c r="H139" t="s">
        <v>25</v>
      </c>
    </row>
    <row r="140" spans="1:8" x14ac:dyDescent="0.3">
      <c r="A140" t="s">
        <v>180</v>
      </c>
      <c r="B140" t="s">
        <v>39</v>
      </c>
      <c r="C140" t="s">
        <v>35</v>
      </c>
      <c r="D140">
        <v>12</v>
      </c>
      <c r="E140">
        <v>75</v>
      </c>
      <c r="F140" s="1">
        <v>45385</v>
      </c>
      <c r="G140" t="s">
        <v>51</v>
      </c>
      <c r="H140" t="s">
        <v>25</v>
      </c>
    </row>
    <row r="141" spans="1:8" x14ac:dyDescent="0.3">
      <c r="A141" t="s">
        <v>181</v>
      </c>
      <c r="B141" t="s">
        <v>27</v>
      </c>
      <c r="C141" t="s">
        <v>46</v>
      </c>
      <c r="D141">
        <v>9</v>
      </c>
      <c r="E141">
        <v>150</v>
      </c>
      <c r="F141" s="1">
        <v>45464</v>
      </c>
      <c r="G141" t="s">
        <v>33</v>
      </c>
      <c r="H141" t="s">
        <v>25</v>
      </c>
    </row>
    <row r="142" spans="1:8" x14ac:dyDescent="0.3">
      <c r="A142" t="s">
        <v>182</v>
      </c>
      <c r="B142" t="s">
        <v>60</v>
      </c>
      <c r="C142" t="s">
        <v>42</v>
      </c>
      <c r="D142">
        <v>13</v>
      </c>
      <c r="E142">
        <v>50</v>
      </c>
      <c r="F142" s="1">
        <v>45408</v>
      </c>
      <c r="G142" t="s">
        <v>47</v>
      </c>
      <c r="H142" t="s">
        <v>25</v>
      </c>
    </row>
    <row r="143" spans="1:8" x14ac:dyDescent="0.3">
      <c r="A143" t="s">
        <v>183</v>
      </c>
      <c r="B143" t="s">
        <v>27</v>
      </c>
      <c r="C143" t="s">
        <v>32</v>
      </c>
      <c r="D143">
        <v>10</v>
      </c>
      <c r="E143">
        <v>150</v>
      </c>
      <c r="F143" s="1">
        <v>45356</v>
      </c>
      <c r="G143" t="s">
        <v>29</v>
      </c>
      <c r="H143" t="s">
        <v>36</v>
      </c>
    </row>
    <row r="144" spans="1:8" x14ac:dyDescent="0.3">
      <c r="A144" t="s">
        <v>184</v>
      </c>
      <c r="B144" t="s">
        <v>22</v>
      </c>
      <c r="C144" t="s">
        <v>46</v>
      </c>
      <c r="D144">
        <v>7</v>
      </c>
      <c r="E144">
        <v>75</v>
      </c>
      <c r="F144" s="1">
        <v>45211</v>
      </c>
      <c r="G144" t="s">
        <v>51</v>
      </c>
      <c r="H144" t="s">
        <v>40</v>
      </c>
    </row>
    <row r="145" spans="1:8" x14ac:dyDescent="0.3">
      <c r="A145" t="s">
        <v>185</v>
      </c>
      <c r="B145" t="s">
        <v>22</v>
      </c>
      <c r="C145" t="s">
        <v>42</v>
      </c>
      <c r="D145">
        <v>2</v>
      </c>
      <c r="E145">
        <v>200</v>
      </c>
      <c r="F145" s="1">
        <v>45442</v>
      </c>
      <c r="G145" t="s">
        <v>33</v>
      </c>
      <c r="H145" t="s">
        <v>36</v>
      </c>
    </row>
    <row r="146" spans="1:8" x14ac:dyDescent="0.3">
      <c r="A146" t="s">
        <v>186</v>
      </c>
      <c r="B146" t="s">
        <v>22</v>
      </c>
      <c r="C146" t="s">
        <v>23</v>
      </c>
      <c r="D146">
        <v>6</v>
      </c>
      <c r="E146">
        <v>50</v>
      </c>
      <c r="F146" s="1">
        <v>45025</v>
      </c>
      <c r="G146" t="s">
        <v>29</v>
      </c>
      <c r="H146" t="s">
        <v>40</v>
      </c>
    </row>
    <row r="147" spans="1:8" x14ac:dyDescent="0.3">
      <c r="A147" t="s">
        <v>187</v>
      </c>
      <c r="B147" t="s">
        <v>22</v>
      </c>
      <c r="C147" t="s">
        <v>57</v>
      </c>
      <c r="D147">
        <v>2</v>
      </c>
      <c r="E147">
        <v>50</v>
      </c>
      <c r="F147" s="1">
        <v>45323</v>
      </c>
      <c r="G147" t="s">
        <v>29</v>
      </c>
      <c r="H147" t="s">
        <v>43</v>
      </c>
    </row>
    <row r="148" spans="1:8" x14ac:dyDescent="0.3">
      <c r="A148" t="s">
        <v>188</v>
      </c>
      <c r="B148" t="s">
        <v>22</v>
      </c>
      <c r="C148" t="s">
        <v>46</v>
      </c>
      <c r="D148">
        <v>14</v>
      </c>
      <c r="E148">
        <v>100</v>
      </c>
      <c r="F148" s="1">
        <v>45415</v>
      </c>
      <c r="G148" t="s">
        <v>51</v>
      </c>
      <c r="H148" t="s">
        <v>25</v>
      </c>
    </row>
    <row r="149" spans="1:8" x14ac:dyDescent="0.3">
      <c r="A149" t="s">
        <v>189</v>
      </c>
      <c r="B149" t="s">
        <v>31</v>
      </c>
      <c r="C149" t="s">
        <v>28</v>
      </c>
      <c r="D149">
        <v>6</v>
      </c>
      <c r="E149">
        <v>100</v>
      </c>
      <c r="F149" s="1">
        <v>44965</v>
      </c>
      <c r="G149" t="s">
        <v>24</v>
      </c>
      <c r="H149" t="s">
        <v>36</v>
      </c>
    </row>
    <row r="150" spans="1:8" x14ac:dyDescent="0.3">
      <c r="A150" t="s">
        <v>190</v>
      </c>
      <c r="B150" t="s">
        <v>39</v>
      </c>
      <c r="C150" t="s">
        <v>28</v>
      </c>
      <c r="D150">
        <v>13</v>
      </c>
      <c r="E150">
        <v>200</v>
      </c>
      <c r="F150" s="1">
        <v>45197</v>
      </c>
      <c r="G150" t="s">
        <v>51</v>
      </c>
      <c r="H150" t="s">
        <v>40</v>
      </c>
    </row>
    <row r="151" spans="1:8" x14ac:dyDescent="0.3">
      <c r="A151" t="s">
        <v>191</v>
      </c>
      <c r="B151" t="s">
        <v>22</v>
      </c>
      <c r="C151" t="s">
        <v>23</v>
      </c>
      <c r="D151">
        <v>10</v>
      </c>
      <c r="E151">
        <v>50</v>
      </c>
      <c r="F151" s="1">
        <v>45083</v>
      </c>
      <c r="G151" t="s">
        <v>33</v>
      </c>
      <c r="H151" t="s">
        <v>43</v>
      </c>
    </row>
    <row r="152" spans="1:8" x14ac:dyDescent="0.3">
      <c r="A152" t="s">
        <v>192</v>
      </c>
      <c r="B152" t="s">
        <v>60</v>
      </c>
      <c r="C152" t="s">
        <v>42</v>
      </c>
      <c r="D152">
        <v>14</v>
      </c>
      <c r="E152">
        <v>200</v>
      </c>
      <c r="F152" s="1">
        <v>45001</v>
      </c>
      <c r="G152" t="s">
        <v>29</v>
      </c>
      <c r="H152" t="s">
        <v>43</v>
      </c>
    </row>
    <row r="153" spans="1:8" x14ac:dyDescent="0.3">
      <c r="A153" t="s">
        <v>193</v>
      </c>
      <c r="B153" t="s">
        <v>60</v>
      </c>
      <c r="C153" t="s">
        <v>35</v>
      </c>
      <c r="D153">
        <v>11</v>
      </c>
      <c r="E153">
        <v>100</v>
      </c>
      <c r="F153" s="1">
        <v>45056</v>
      </c>
      <c r="G153" t="s">
        <v>51</v>
      </c>
      <c r="H153" t="s">
        <v>25</v>
      </c>
    </row>
    <row r="154" spans="1:8" x14ac:dyDescent="0.3">
      <c r="A154" t="s">
        <v>194</v>
      </c>
      <c r="B154" t="s">
        <v>60</v>
      </c>
      <c r="C154" t="s">
        <v>42</v>
      </c>
      <c r="D154">
        <v>12</v>
      </c>
      <c r="E154">
        <v>100</v>
      </c>
      <c r="F154" s="1">
        <v>45010</v>
      </c>
      <c r="G154" t="s">
        <v>24</v>
      </c>
      <c r="H154" t="s">
        <v>40</v>
      </c>
    </row>
    <row r="155" spans="1:8" x14ac:dyDescent="0.3">
      <c r="A155" t="s">
        <v>195</v>
      </c>
      <c r="B155" t="s">
        <v>60</v>
      </c>
      <c r="C155" t="s">
        <v>23</v>
      </c>
      <c r="D155">
        <v>1</v>
      </c>
      <c r="E155">
        <v>50</v>
      </c>
      <c r="F155" s="1">
        <v>44948</v>
      </c>
      <c r="G155" t="s">
        <v>51</v>
      </c>
      <c r="H155" t="s">
        <v>36</v>
      </c>
    </row>
    <row r="156" spans="1:8" x14ac:dyDescent="0.3">
      <c r="A156" t="s">
        <v>196</v>
      </c>
      <c r="B156" t="s">
        <v>31</v>
      </c>
      <c r="C156" t="s">
        <v>28</v>
      </c>
      <c r="D156">
        <v>9</v>
      </c>
      <c r="E156">
        <v>150</v>
      </c>
      <c r="F156" s="1">
        <v>45385</v>
      </c>
      <c r="G156" t="s">
        <v>47</v>
      </c>
      <c r="H156" t="s">
        <v>25</v>
      </c>
    </row>
    <row r="157" spans="1:8" x14ac:dyDescent="0.3">
      <c r="A157" t="s">
        <v>197</v>
      </c>
      <c r="B157" t="s">
        <v>60</v>
      </c>
      <c r="C157" t="s">
        <v>42</v>
      </c>
      <c r="D157">
        <v>5</v>
      </c>
      <c r="E157">
        <v>75</v>
      </c>
      <c r="F157" s="1">
        <v>45465</v>
      </c>
      <c r="G157" t="s">
        <v>24</v>
      </c>
      <c r="H157" t="s">
        <v>36</v>
      </c>
    </row>
    <row r="158" spans="1:8" x14ac:dyDescent="0.3">
      <c r="A158" t="s">
        <v>198</v>
      </c>
      <c r="B158" t="s">
        <v>22</v>
      </c>
      <c r="C158" t="s">
        <v>28</v>
      </c>
      <c r="D158">
        <v>2</v>
      </c>
      <c r="E158">
        <v>100</v>
      </c>
      <c r="F158" s="1">
        <v>45308</v>
      </c>
      <c r="G158" t="s">
        <v>33</v>
      </c>
      <c r="H158" t="s">
        <v>43</v>
      </c>
    </row>
    <row r="159" spans="1:8" x14ac:dyDescent="0.3">
      <c r="A159" t="s">
        <v>199</v>
      </c>
      <c r="B159" t="s">
        <v>27</v>
      </c>
      <c r="C159" t="s">
        <v>46</v>
      </c>
      <c r="D159">
        <v>2</v>
      </c>
      <c r="E159">
        <v>100</v>
      </c>
      <c r="F159" s="1">
        <v>45366</v>
      </c>
      <c r="G159" t="s">
        <v>29</v>
      </c>
      <c r="H159" t="s">
        <v>36</v>
      </c>
    </row>
    <row r="160" spans="1:8" x14ac:dyDescent="0.3">
      <c r="A160" t="s">
        <v>200</v>
      </c>
      <c r="B160" t="s">
        <v>60</v>
      </c>
      <c r="C160" t="s">
        <v>35</v>
      </c>
      <c r="D160">
        <v>14</v>
      </c>
      <c r="E160">
        <v>150</v>
      </c>
      <c r="F160" s="1">
        <v>44947</v>
      </c>
      <c r="G160" t="s">
        <v>51</v>
      </c>
      <c r="H160" t="s">
        <v>36</v>
      </c>
    </row>
    <row r="161" spans="1:8" x14ac:dyDescent="0.3">
      <c r="A161" t="s">
        <v>201</v>
      </c>
      <c r="B161" t="s">
        <v>31</v>
      </c>
      <c r="C161" t="s">
        <v>46</v>
      </c>
      <c r="D161">
        <v>8</v>
      </c>
      <c r="E161">
        <v>150</v>
      </c>
      <c r="F161" s="1">
        <v>45229</v>
      </c>
      <c r="G161" t="s">
        <v>24</v>
      </c>
      <c r="H161" t="s">
        <v>25</v>
      </c>
    </row>
    <row r="162" spans="1:8" x14ac:dyDescent="0.3">
      <c r="A162" t="s">
        <v>202</v>
      </c>
      <c r="B162" t="s">
        <v>31</v>
      </c>
      <c r="C162" t="s">
        <v>28</v>
      </c>
      <c r="D162">
        <v>6</v>
      </c>
      <c r="E162">
        <v>200</v>
      </c>
      <c r="F162" s="1">
        <v>45010</v>
      </c>
      <c r="G162" t="s">
        <v>47</v>
      </c>
      <c r="H162" t="s">
        <v>36</v>
      </c>
    </row>
    <row r="163" spans="1:8" x14ac:dyDescent="0.3">
      <c r="A163" t="s">
        <v>203</v>
      </c>
      <c r="B163" t="s">
        <v>60</v>
      </c>
      <c r="C163" t="s">
        <v>28</v>
      </c>
      <c r="D163">
        <v>4</v>
      </c>
      <c r="E163">
        <v>200</v>
      </c>
      <c r="F163" s="1">
        <v>45379</v>
      </c>
      <c r="G163" t="s">
        <v>24</v>
      </c>
      <c r="H163" t="s">
        <v>25</v>
      </c>
    </row>
    <row r="164" spans="1:8" x14ac:dyDescent="0.3">
      <c r="A164" t="s">
        <v>204</v>
      </c>
      <c r="B164" t="s">
        <v>27</v>
      </c>
      <c r="C164" t="s">
        <v>57</v>
      </c>
      <c r="D164">
        <v>11</v>
      </c>
      <c r="E164">
        <v>75</v>
      </c>
      <c r="F164" s="1">
        <v>45313</v>
      </c>
      <c r="G164" t="s">
        <v>47</v>
      </c>
      <c r="H164" t="s">
        <v>43</v>
      </c>
    </row>
    <row r="165" spans="1:8" x14ac:dyDescent="0.3">
      <c r="A165" t="s">
        <v>205</v>
      </c>
      <c r="B165" t="s">
        <v>60</v>
      </c>
      <c r="C165" t="s">
        <v>57</v>
      </c>
      <c r="D165">
        <v>9</v>
      </c>
      <c r="E165">
        <v>75</v>
      </c>
      <c r="F165" s="1">
        <v>45433</v>
      </c>
      <c r="G165" t="s">
        <v>33</v>
      </c>
      <c r="H165" t="s">
        <v>25</v>
      </c>
    </row>
    <row r="166" spans="1:8" x14ac:dyDescent="0.3">
      <c r="A166" t="s">
        <v>206</v>
      </c>
      <c r="B166" t="s">
        <v>31</v>
      </c>
      <c r="C166" t="s">
        <v>46</v>
      </c>
      <c r="D166">
        <v>6</v>
      </c>
      <c r="E166">
        <v>50</v>
      </c>
      <c r="F166" s="1">
        <v>45183</v>
      </c>
      <c r="G166" t="s">
        <v>29</v>
      </c>
      <c r="H166" t="s">
        <v>25</v>
      </c>
    </row>
    <row r="167" spans="1:8" x14ac:dyDescent="0.3">
      <c r="A167" t="s">
        <v>207</v>
      </c>
      <c r="B167" t="s">
        <v>39</v>
      </c>
      <c r="C167" t="s">
        <v>32</v>
      </c>
      <c r="D167">
        <v>8</v>
      </c>
      <c r="E167">
        <v>200</v>
      </c>
      <c r="F167" s="1">
        <v>45453</v>
      </c>
      <c r="G167" t="s">
        <v>33</v>
      </c>
      <c r="H167" t="s">
        <v>40</v>
      </c>
    </row>
    <row r="168" spans="1:8" x14ac:dyDescent="0.3">
      <c r="A168" t="s">
        <v>208</v>
      </c>
      <c r="B168" t="s">
        <v>22</v>
      </c>
      <c r="C168" t="s">
        <v>46</v>
      </c>
      <c r="D168">
        <v>0</v>
      </c>
      <c r="E168">
        <v>100</v>
      </c>
      <c r="F168" s="1">
        <v>45088</v>
      </c>
      <c r="G168" t="s">
        <v>51</v>
      </c>
      <c r="H168" t="s">
        <v>36</v>
      </c>
    </row>
    <row r="169" spans="1:8" x14ac:dyDescent="0.3">
      <c r="A169" t="s">
        <v>209</v>
      </c>
      <c r="B169" t="s">
        <v>31</v>
      </c>
      <c r="C169" t="s">
        <v>57</v>
      </c>
      <c r="D169">
        <v>6</v>
      </c>
      <c r="E169">
        <v>200</v>
      </c>
      <c r="F169" s="1">
        <v>45089</v>
      </c>
      <c r="G169" t="s">
        <v>24</v>
      </c>
      <c r="H169" t="s">
        <v>43</v>
      </c>
    </row>
    <row r="170" spans="1:8" x14ac:dyDescent="0.3">
      <c r="A170" t="s">
        <v>210</v>
      </c>
      <c r="B170" t="s">
        <v>60</v>
      </c>
      <c r="C170" t="s">
        <v>28</v>
      </c>
      <c r="D170">
        <v>5</v>
      </c>
      <c r="E170">
        <v>100</v>
      </c>
      <c r="F170" s="1">
        <v>45450</v>
      </c>
      <c r="G170" t="s">
        <v>47</v>
      </c>
      <c r="H170" t="s">
        <v>25</v>
      </c>
    </row>
    <row r="171" spans="1:8" x14ac:dyDescent="0.3">
      <c r="A171" t="s">
        <v>211</v>
      </c>
      <c r="B171" t="s">
        <v>22</v>
      </c>
      <c r="C171" t="s">
        <v>23</v>
      </c>
      <c r="D171">
        <v>9</v>
      </c>
      <c r="E171">
        <v>150</v>
      </c>
      <c r="F171" s="1">
        <v>45197</v>
      </c>
      <c r="G171" t="s">
        <v>47</v>
      </c>
      <c r="H171" t="s">
        <v>43</v>
      </c>
    </row>
    <row r="172" spans="1:8" x14ac:dyDescent="0.3">
      <c r="A172" t="s">
        <v>212</v>
      </c>
      <c r="B172" t="s">
        <v>60</v>
      </c>
      <c r="C172" t="s">
        <v>46</v>
      </c>
      <c r="D172">
        <v>13</v>
      </c>
      <c r="E172">
        <v>200</v>
      </c>
      <c r="F172" s="1">
        <v>45418</v>
      </c>
      <c r="G172" t="s">
        <v>24</v>
      </c>
      <c r="H172" t="s">
        <v>40</v>
      </c>
    </row>
    <row r="173" spans="1:8" x14ac:dyDescent="0.3">
      <c r="A173" t="s">
        <v>213</v>
      </c>
      <c r="B173" t="s">
        <v>60</v>
      </c>
      <c r="C173" t="s">
        <v>28</v>
      </c>
      <c r="D173">
        <v>11</v>
      </c>
      <c r="E173">
        <v>150</v>
      </c>
      <c r="F173" s="1">
        <v>45134</v>
      </c>
      <c r="G173" t="s">
        <v>24</v>
      </c>
      <c r="H173" t="s">
        <v>36</v>
      </c>
    </row>
    <row r="174" spans="1:8" x14ac:dyDescent="0.3">
      <c r="A174" t="s">
        <v>214</v>
      </c>
      <c r="B174" t="s">
        <v>39</v>
      </c>
      <c r="C174" t="s">
        <v>23</v>
      </c>
      <c r="D174">
        <v>8</v>
      </c>
      <c r="E174">
        <v>75</v>
      </c>
      <c r="F174" s="1">
        <v>45465</v>
      </c>
      <c r="G174" t="s">
        <v>51</v>
      </c>
      <c r="H174" t="s">
        <v>25</v>
      </c>
    </row>
    <row r="175" spans="1:8" x14ac:dyDescent="0.3">
      <c r="A175" t="s">
        <v>215</v>
      </c>
      <c r="B175" t="s">
        <v>22</v>
      </c>
      <c r="C175" t="s">
        <v>23</v>
      </c>
      <c r="D175">
        <v>0</v>
      </c>
      <c r="E175">
        <v>75</v>
      </c>
      <c r="F175" s="1">
        <v>44986</v>
      </c>
      <c r="G175" t="s">
        <v>33</v>
      </c>
      <c r="H175" t="s">
        <v>36</v>
      </c>
    </row>
    <row r="176" spans="1:8" x14ac:dyDescent="0.3">
      <c r="A176" t="s">
        <v>216</v>
      </c>
      <c r="B176" t="s">
        <v>22</v>
      </c>
      <c r="C176" t="s">
        <v>57</v>
      </c>
      <c r="D176">
        <v>12</v>
      </c>
      <c r="E176">
        <v>50</v>
      </c>
      <c r="F176" s="1">
        <v>45356</v>
      </c>
      <c r="G176" t="s">
        <v>47</v>
      </c>
      <c r="H176" t="s">
        <v>40</v>
      </c>
    </row>
    <row r="177" spans="1:8" x14ac:dyDescent="0.3">
      <c r="A177" t="s">
        <v>217</v>
      </c>
      <c r="B177" t="s">
        <v>39</v>
      </c>
      <c r="C177" t="s">
        <v>46</v>
      </c>
      <c r="D177">
        <v>3</v>
      </c>
      <c r="E177">
        <v>200</v>
      </c>
      <c r="F177" s="1">
        <v>45235</v>
      </c>
      <c r="G177" t="s">
        <v>51</v>
      </c>
      <c r="H177" t="s">
        <v>40</v>
      </c>
    </row>
    <row r="178" spans="1:8" x14ac:dyDescent="0.3">
      <c r="A178" t="s">
        <v>218</v>
      </c>
      <c r="B178" t="s">
        <v>31</v>
      </c>
      <c r="C178" t="s">
        <v>42</v>
      </c>
      <c r="D178">
        <v>8</v>
      </c>
      <c r="E178">
        <v>150</v>
      </c>
      <c r="F178" s="1">
        <v>45446</v>
      </c>
      <c r="G178" t="s">
        <v>33</v>
      </c>
      <c r="H178" t="s">
        <v>43</v>
      </c>
    </row>
    <row r="179" spans="1:8" x14ac:dyDescent="0.3">
      <c r="A179" t="s">
        <v>219</v>
      </c>
      <c r="B179" t="s">
        <v>60</v>
      </c>
      <c r="C179" t="s">
        <v>35</v>
      </c>
      <c r="D179">
        <v>3</v>
      </c>
      <c r="E179">
        <v>100</v>
      </c>
      <c r="F179" s="1">
        <v>44953</v>
      </c>
      <c r="G179" t="s">
        <v>51</v>
      </c>
      <c r="H179" t="s">
        <v>25</v>
      </c>
    </row>
    <row r="180" spans="1:8" x14ac:dyDescent="0.3">
      <c r="A180" t="s">
        <v>220</v>
      </c>
      <c r="B180" t="s">
        <v>27</v>
      </c>
      <c r="C180" t="s">
        <v>57</v>
      </c>
      <c r="D180">
        <v>9</v>
      </c>
      <c r="E180">
        <v>75</v>
      </c>
      <c r="F180" s="1">
        <v>45125</v>
      </c>
      <c r="G180" t="s">
        <v>47</v>
      </c>
      <c r="H180" t="s">
        <v>43</v>
      </c>
    </row>
    <row r="181" spans="1:8" x14ac:dyDescent="0.3">
      <c r="A181" t="s">
        <v>221</v>
      </c>
      <c r="B181" t="s">
        <v>60</v>
      </c>
      <c r="C181" t="s">
        <v>57</v>
      </c>
      <c r="D181">
        <v>2</v>
      </c>
      <c r="E181">
        <v>75</v>
      </c>
      <c r="F181" s="1">
        <v>45313</v>
      </c>
      <c r="G181" t="s">
        <v>24</v>
      </c>
      <c r="H181" t="s">
        <v>40</v>
      </c>
    </row>
    <row r="182" spans="1:8" x14ac:dyDescent="0.3">
      <c r="A182" t="s">
        <v>222</v>
      </c>
      <c r="B182" t="s">
        <v>60</v>
      </c>
      <c r="C182" t="s">
        <v>42</v>
      </c>
      <c r="D182">
        <v>8</v>
      </c>
      <c r="E182">
        <v>100</v>
      </c>
      <c r="F182" s="1">
        <v>45275</v>
      </c>
      <c r="G182" t="s">
        <v>24</v>
      </c>
      <c r="H182" t="s">
        <v>36</v>
      </c>
    </row>
    <row r="183" spans="1:8" x14ac:dyDescent="0.3">
      <c r="A183" t="s">
        <v>223</v>
      </c>
      <c r="B183" t="s">
        <v>31</v>
      </c>
      <c r="C183" t="s">
        <v>35</v>
      </c>
      <c r="D183">
        <v>12</v>
      </c>
      <c r="E183">
        <v>150</v>
      </c>
      <c r="F183" s="1">
        <v>45462</v>
      </c>
      <c r="G183" t="s">
        <v>33</v>
      </c>
      <c r="H183" t="s">
        <v>43</v>
      </c>
    </row>
    <row r="184" spans="1:8" x14ac:dyDescent="0.3">
      <c r="A184" t="s">
        <v>224</v>
      </c>
      <c r="B184" t="s">
        <v>60</v>
      </c>
      <c r="C184" t="s">
        <v>28</v>
      </c>
      <c r="D184">
        <v>1</v>
      </c>
      <c r="E184">
        <v>150</v>
      </c>
      <c r="F184" s="1">
        <v>45304</v>
      </c>
      <c r="G184" t="s">
        <v>29</v>
      </c>
      <c r="H184" t="s">
        <v>43</v>
      </c>
    </row>
    <row r="185" spans="1:8" x14ac:dyDescent="0.3">
      <c r="A185" t="s">
        <v>225</v>
      </c>
      <c r="B185" t="s">
        <v>39</v>
      </c>
      <c r="C185" t="s">
        <v>32</v>
      </c>
      <c r="D185">
        <v>14</v>
      </c>
      <c r="E185">
        <v>200</v>
      </c>
      <c r="F185" s="1">
        <v>45453</v>
      </c>
      <c r="G185" t="s">
        <v>33</v>
      </c>
      <c r="H185" t="s">
        <v>36</v>
      </c>
    </row>
    <row r="186" spans="1:8" x14ac:dyDescent="0.3">
      <c r="A186" t="s">
        <v>226</v>
      </c>
      <c r="B186" t="s">
        <v>39</v>
      </c>
      <c r="C186" t="s">
        <v>46</v>
      </c>
      <c r="D186">
        <v>3</v>
      </c>
      <c r="E186">
        <v>200</v>
      </c>
      <c r="F186" s="1">
        <v>45079</v>
      </c>
      <c r="G186" t="s">
        <v>29</v>
      </c>
      <c r="H186" t="s">
        <v>43</v>
      </c>
    </row>
    <row r="187" spans="1:8" x14ac:dyDescent="0.3">
      <c r="A187" t="s">
        <v>227</v>
      </c>
      <c r="B187" t="s">
        <v>22</v>
      </c>
      <c r="C187" t="s">
        <v>32</v>
      </c>
      <c r="D187">
        <v>14</v>
      </c>
      <c r="E187">
        <v>50</v>
      </c>
      <c r="F187" s="1">
        <v>45132</v>
      </c>
      <c r="G187" t="s">
        <v>51</v>
      </c>
      <c r="H187" t="s">
        <v>36</v>
      </c>
    </row>
    <row r="188" spans="1:8" x14ac:dyDescent="0.3">
      <c r="A188" t="s">
        <v>228</v>
      </c>
      <c r="B188" t="s">
        <v>27</v>
      </c>
      <c r="C188" t="s">
        <v>28</v>
      </c>
      <c r="D188">
        <v>5</v>
      </c>
      <c r="E188">
        <v>75</v>
      </c>
      <c r="F188" s="1">
        <v>45381</v>
      </c>
      <c r="G188" t="s">
        <v>51</v>
      </c>
      <c r="H188" t="s">
        <v>25</v>
      </c>
    </row>
    <row r="189" spans="1:8" x14ac:dyDescent="0.3">
      <c r="A189" t="s">
        <v>229</v>
      </c>
      <c r="B189" t="s">
        <v>60</v>
      </c>
      <c r="C189" t="s">
        <v>57</v>
      </c>
      <c r="D189">
        <v>1</v>
      </c>
      <c r="E189">
        <v>200</v>
      </c>
      <c r="F189" s="1">
        <v>45199</v>
      </c>
      <c r="G189" t="s">
        <v>47</v>
      </c>
      <c r="H189" t="s">
        <v>36</v>
      </c>
    </row>
    <row r="190" spans="1:8" x14ac:dyDescent="0.3">
      <c r="A190" t="s">
        <v>230</v>
      </c>
      <c r="B190" t="s">
        <v>60</v>
      </c>
      <c r="C190" t="s">
        <v>35</v>
      </c>
      <c r="D190">
        <v>14</v>
      </c>
      <c r="E190">
        <v>150</v>
      </c>
      <c r="F190" s="1">
        <v>45162</v>
      </c>
      <c r="G190" t="s">
        <v>29</v>
      </c>
      <c r="H190" t="s">
        <v>25</v>
      </c>
    </row>
    <row r="191" spans="1:8" x14ac:dyDescent="0.3">
      <c r="A191" t="s">
        <v>231</v>
      </c>
      <c r="B191" t="s">
        <v>31</v>
      </c>
      <c r="C191" t="s">
        <v>57</v>
      </c>
      <c r="D191">
        <v>7</v>
      </c>
      <c r="E191">
        <v>100</v>
      </c>
      <c r="F191" s="1">
        <v>45447</v>
      </c>
      <c r="G191" t="s">
        <v>47</v>
      </c>
      <c r="H191" t="s">
        <v>36</v>
      </c>
    </row>
    <row r="192" spans="1:8" x14ac:dyDescent="0.3">
      <c r="A192" t="s">
        <v>232</v>
      </c>
      <c r="B192" t="s">
        <v>39</v>
      </c>
      <c r="C192" t="s">
        <v>23</v>
      </c>
      <c r="D192">
        <v>7</v>
      </c>
      <c r="E192">
        <v>150</v>
      </c>
      <c r="F192" s="1">
        <v>45427</v>
      </c>
      <c r="G192" t="s">
        <v>24</v>
      </c>
      <c r="H192" t="s">
        <v>40</v>
      </c>
    </row>
    <row r="193" spans="1:8" x14ac:dyDescent="0.3">
      <c r="A193" t="s">
        <v>233</v>
      </c>
      <c r="B193" t="s">
        <v>27</v>
      </c>
      <c r="C193" t="s">
        <v>57</v>
      </c>
      <c r="D193">
        <v>0</v>
      </c>
      <c r="E193">
        <v>75</v>
      </c>
      <c r="F193" s="1">
        <v>45043</v>
      </c>
      <c r="G193" t="s">
        <v>29</v>
      </c>
      <c r="H193" t="s">
        <v>40</v>
      </c>
    </row>
    <row r="194" spans="1:8" x14ac:dyDescent="0.3">
      <c r="A194" t="s">
        <v>234</v>
      </c>
      <c r="B194" t="s">
        <v>22</v>
      </c>
      <c r="C194" t="s">
        <v>57</v>
      </c>
      <c r="D194">
        <v>11</v>
      </c>
      <c r="E194">
        <v>150</v>
      </c>
      <c r="F194" s="1">
        <v>45312</v>
      </c>
      <c r="G194" t="s">
        <v>33</v>
      </c>
      <c r="H194" t="s">
        <v>25</v>
      </c>
    </row>
    <row r="195" spans="1:8" x14ac:dyDescent="0.3">
      <c r="A195" t="s">
        <v>235</v>
      </c>
      <c r="B195" t="s">
        <v>39</v>
      </c>
      <c r="C195" t="s">
        <v>28</v>
      </c>
      <c r="D195">
        <v>2</v>
      </c>
      <c r="E195">
        <v>50</v>
      </c>
      <c r="F195" s="1">
        <v>45270</v>
      </c>
      <c r="G195" t="s">
        <v>24</v>
      </c>
      <c r="H195" t="s">
        <v>25</v>
      </c>
    </row>
    <row r="196" spans="1:8" x14ac:dyDescent="0.3">
      <c r="A196" t="s">
        <v>236</v>
      </c>
      <c r="B196" t="s">
        <v>22</v>
      </c>
      <c r="C196" t="s">
        <v>28</v>
      </c>
      <c r="D196">
        <v>9</v>
      </c>
      <c r="E196">
        <v>75</v>
      </c>
      <c r="F196" s="1">
        <v>45321</v>
      </c>
      <c r="G196" t="s">
        <v>24</v>
      </c>
      <c r="H196" t="s">
        <v>40</v>
      </c>
    </row>
    <row r="197" spans="1:8" x14ac:dyDescent="0.3">
      <c r="A197" t="s">
        <v>237</v>
      </c>
      <c r="B197" t="s">
        <v>31</v>
      </c>
      <c r="C197" t="s">
        <v>28</v>
      </c>
      <c r="D197">
        <v>8</v>
      </c>
      <c r="E197">
        <v>100</v>
      </c>
      <c r="F197" s="1">
        <v>44990</v>
      </c>
      <c r="G197" t="s">
        <v>33</v>
      </c>
      <c r="H197" t="s">
        <v>25</v>
      </c>
    </row>
    <row r="198" spans="1:8" x14ac:dyDescent="0.3">
      <c r="A198" t="s">
        <v>238</v>
      </c>
      <c r="B198" t="s">
        <v>31</v>
      </c>
      <c r="C198" t="s">
        <v>32</v>
      </c>
      <c r="D198">
        <v>4</v>
      </c>
      <c r="E198">
        <v>50</v>
      </c>
      <c r="F198" s="1">
        <v>44998</v>
      </c>
      <c r="G198" t="s">
        <v>24</v>
      </c>
      <c r="H198" t="s">
        <v>36</v>
      </c>
    </row>
    <row r="199" spans="1:8" x14ac:dyDescent="0.3">
      <c r="A199" t="s">
        <v>239</v>
      </c>
      <c r="B199" t="s">
        <v>60</v>
      </c>
      <c r="C199" t="s">
        <v>23</v>
      </c>
      <c r="D199">
        <v>5</v>
      </c>
      <c r="E199">
        <v>75</v>
      </c>
      <c r="F199" s="1">
        <v>45200</v>
      </c>
      <c r="G199" t="s">
        <v>29</v>
      </c>
      <c r="H199" t="s">
        <v>36</v>
      </c>
    </row>
    <row r="200" spans="1:8" x14ac:dyDescent="0.3">
      <c r="A200" t="s">
        <v>240</v>
      </c>
      <c r="B200" t="s">
        <v>27</v>
      </c>
      <c r="C200" t="s">
        <v>28</v>
      </c>
      <c r="D200">
        <v>3</v>
      </c>
      <c r="E200">
        <v>100</v>
      </c>
      <c r="F200" s="1">
        <v>45246</v>
      </c>
      <c r="G200" t="s">
        <v>47</v>
      </c>
      <c r="H200" t="s">
        <v>40</v>
      </c>
    </row>
    <row r="201" spans="1:8" x14ac:dyDescent="0.3">
      <c r="A201" t="s">
        <v>241</v>
      </c>
      <c r="B201" t="s">
        <v>22</v>
      </c>
      <c r="C201" t="s">
        <v>35</v>
      </c>
      <c r="D201">
        <v>9</v>
      </c>
      <c r="E201">
        <v>50</v>
      </c>
      <c r="F201" s="1">
        <v>45264</v>
      </c>
      <c r="G201" t="s">
        <v>24</v>
      </c>
      <c r="H201" t="s">
        <v>43</v>
      </c>
    </row>
    <row r="202" spans="1:8" x14ac:dyDescent="0.3">
      <c r="A202" t="s">
        <v>242</v>
      </c>
      <c r="B202" t="s">
        <v>39</v>
      </c>
      <c r="C202" t="s">
        <v>32</v>
      </c>
      <c r="D202">
        <v>1</v>
      </c>
      <c r="E202">
        <v>50</v>
      </c>
      <c r="F202" s="1">
        <v>45292</v>
      </c>
      <c r="G202" t="s">
        <v>29</v>
      </c>
      <c r="H202" t="s">
        <v>36</v>
      </c>
    </row>
    <row r="203" spans="1:8" x14ac:dyDescent="0.3">
      <c r="A203" t="s">
        <v>243</v>
      </c>
      <c r="B203" t="s">
        <v>31</v>
      </c>
      <c r="C203" t="s">
        <v>42</v>
      </c>
      <c r="D203">
        <v>10</v>
      </c>
      <c r="E203">
        <v>75</v>
      </c>
      <c r="F203" s="1">
        <v>45421</v>
      </c>
      <c r="G203" t="s">
        <v>51</v>
      </c>
      <c r="H203" t="s">
        <v>25</v>
      </c>
    </row>
    <row r="204" spans="1:8" x14ac:dyDescent="0.3">
      <c r="A204" t="s">
        <v>244</v>
      </c>
      <c r="B204" t="s">
        <v>60</v>
      </c>
      <c r="C204" t="s">
        <v>35</v>
      </c>
      <c r="D204">
        <v>7</v>
      </c>
      <c r="E204">
        <v>200</v>
      </c>
      <c r="F204" s="1">
        <v>45092</v>
      </c>
      <c r="G204" t="s">
        <v>29</v>
      </c>
      <c r="H204" t="s">
        <v>43</v>
      </c>
    </row>
    <row r="205" spans="1:8" x14ac:dyDescent="0.3">
      <c r="A205" t="s">
        <v>245</v>
      </c>
      <c r="B205" t="s">
        <v>60</v>
      </c>
      <c r="C205" t="s">
        <v>46</v>
      </c>
      <c r="D205">
        <v>10</v>
      </c>
      <c r="E205">
        <v>50</v>
      </c>
      <c r="F205" s="1">
        <v>45470</v>
      </c>
      <c r="G205" t="s">
        <v>47</v>
      </c>
      <c r="H205" t="s">
        <v>43</v>
      </c>
    </row>
    <row r="206" spans="1:8" x14ac:dyDescent="0.3">
      <c r="A206" t="s">
        <v>246</v>
      </c>
      <c r="B206" t="s">
        <v>22</v>
      </c>
      <c r="C206" t="s">
        <v>46</v>
      </c>
      <c r="D206">
        <v>12</v>
      </c>
      <c r="E206">
        <v>50</v>
      </c>
      <c r="F206" s="1">
        <v>44937</v>
      </c>
      <c r="G206" t="s">
        <v>29</v>
      </c>
      <c r="H206" t="s">
        <v>36</v>
      </c>
    </row>
    <row r="207" spans="1:8" x14ac:dyDescent="0.3">
      <c r="A207" t="s">
        <v>247</v>
      </c>
      <c r="B207" t="s">
        <v>31</v>
      </c>
      <c r="C207" t="s">
        <v>35</v>
      </c>
      <c r="D207">
        <v>5</v>
      </c>
      <c r="E207">
        <v>100</v>
      </c>
      <c r="F207" s="1">
        <v>45227</v>
      </c>
      <c r="G207" t="s">
        <v>33</v>
      </c>
      <c r="H207" t="s">
        <v>36</v>
      </c>
    </row>
    <row r="208" spans="1:8" x14ac:dyDescent="0.3">
      <c r="A208" t="s">
        <v>248</v>
      </c>
      <c r="B208" t="s">
        <v>27</v>
      </c>
      <c r="C208" t="s">
        <v>28</v>
      </c>
      <c r="D208">
        <v>4</v>
      </c>
      <c r="E208">
        <v>150</v>
      </c>
      <c r="F208" s="1">
        <v>45028</v>
      </c>
      <c r="G208" t="s">
        <v>47</v>
      </c>
      <c r="H208" t="s">
        <v>43</v>
      </c>
    </row>
    <row r="209" spans="1:8" x14ac:dyDescent="0.3">
      <c r="A209" t="s">
        <v>249</v>
      </c>
      <c r="B209" t="s">
        <v>31</v>
      </c>
      <c r="C209" t="s">
        <v>42</v>
      </c>
      <c r="D209">
        <v>8</v>
      </c>
      <c r="E209">
        <v>75</v>
      </c>
      <c r="F209" s="1">
        <v>45351</v>
      </c>
      <c r="G209" t="s">
        <v>51</v>
      </c>
      <c r="H209" t="s">
        <v>43</v>
      </c>
    </row>
    <row r="210" spans="1:8" x14ac:dyDescent="0.3">
      <c r="A210" t="s">
        <v>250</v>
      </c>
      <c r="B210" t="s">
        <v>22</v>
      </c>
      <c r="C210" t="s">
        <v>42</v>
      </c>
      <c r="D210">
        <v>0</v>
      </c>
      <c r="E210">
        <v>75</v>
      </c>
      <c r="F210" s="1">
        <v>45318</v>
      </c>
      <c r="G210" t="s">
        <v>33</v>
      </c>
      <c r="H210" t="s">
        <v>40</v>
      </c>
    </row>
    <row r="211" spans="1:8" x14ac:dyDescent="0.3">
      <c r="A211" t="s">
        <v>251</v>
      </c>
      <c r="B211" t="s">
        <v>22</v>
      </c>
      <c r="C211" t="s">
        <v>32</v>
      </c>
      <c r="D211">
        <v>4</v>
      </c>
      <c r="E211">
        <v>200</v>
      </c>
      <c r="F211" s="1">
        <v>45140</v>
      </c>
      <c r="G211" t="s">
        <v>29</v>
      </c>
      <c r="H211" t="s">
        <v>25</v>
      </c>
    </row>
    <row r="212" spans="1:8" x14ac:dyDescent="0.3">
      <c r="A212" t="s">
        <v>252</v>
      </c>
      <c r="B212" t="s">
        <v>31</v>
      </c>
      <c r="C212" t="s">
        <v>42</v>
      </c>
      <c r="D212">
        <v>5</v>
      </c>
      <c r="E212">
        <v>200</v>
      </c>
      <c r="F212" s="1">
        <v>45014</v>
      </c>
      <c r="G212" t="s">
        <v>47</v>
      </c>
      <c r="H212" t="s">
        <v>40</v>
      </c>
    </row>
    <row r="213" spans="1:8" x14ac:dyDescent="0.3">
      <c r="A213" t="s">
        <v>253</v>
      </c>
      <c r="B213" t="s">
        <v>22</v>
      </c>
      <c r="C213" t="s">
        <v>46</v>
      </c>
      <c r="D213">
        <v>4</v>
      </c>
      <c r="E213">
        <v>75</v>
      </c>
      <c r="F213" s="1">
        <v>45327</v>
      </c>
      <c r="G213" t="s">
        <v>51</v>
      </c>
      <c r="H213" t="s">
        <v>36</v>
      </c>
    </row>
    <row r="214" spans="1:8" x14ac:dyDescent="0.3">
      <c r="A214" t="s">
        <v>254</v>
      </c>
      <c r="B214" t="s">
        <v>31</v>
      </c>
      <c r="C214" t="s">
        <v>23</v>
      </c>
      <c r="D214">
        <v>5</v>
      </c>
      <c r="E214">
        <v>200</v>
      </c>
      <c r="F214" s="1">
        <v>44972</v>
      </c>
      <c r="G214" t="s">
        <v>33</v>
      </c>
      <c r="H214" t="s">
        <v>40</v>
      </c>
    </row>
    <row r="215" spans="1:8" x14ac:dyDescent="0.3">
      <c r="A215" t="s">
        <v>255</v>
      </c>
      <c r="B215" t="s">
        <v>39</v>
      </c>
      <c r="C215" t="s">
        <v>28</v>
      </c>
      <c r="D215">
        <v>5</v>
      </c>
      <c r="E215">
        <v>100</v>
      </c>
      <c r="F215" s="1">
        <v>45389</v>
      </c>
      <c r="G215" t="s">
        <v>51</v>
      </c>
      <c r="H215" t="s">
        <v>40</v>
      </c>
    </row>
    <row r="216" spans="1:8" x14ac:dyDescent="0.3">
      <c r="A216" t="s">
        <v>256</v>
      </c>
      <c r="B216" t="s">
        <v>31</v>
      </c>
      <c r="C216" t="s">
        <v>42</v>
      </c>
      <c r="D216">
        <v>6</v>
      </c>
      <c r="E216">
        <v>75</v>
      </c>
      <c r="F216" s="1">
        <v>45236</v>
      </c>
      <c r="G216" t="s">
        <v>29</v>
      </c>
      <c r="H216" t="s">
        <v>40</v>
      </c>
    </row>
    <row r="217" spans="1:8" x14ac:dyDescent="0.3">
      <c r="A217" t="s">
        <v>257</v>
      </c>
      <c r="B217" t="s">
        <v>31</v>
      </c>
      <c r="C217" t="s">
        <v>32</v>
      </c>
      <c r="D217">
        <v>3</v>
      </c>
      <c r="E217">
        <v>200</v>
      </c>
      <c r="F217" s="1">
        <v>45012</v>
      </c>
      <c r="G217" t="s">
        <v>51</v>
      </c>
      <c r="H217" t="s">
        <v>40</v>
      </c>
    </row>
    <row r="218" spans="1:8" x14ac:dyDescent="0.3">
      <c r="A218" t="s">
        <v>258</v>
      </c>
      <c r="B218" t="s">
        <v>22</v>
      </c>
      <c r="C218" t="s">
        <v>46</v>
      </c>
      <c r="D218">
        <v>13</v>
      </c>
      <c r="E218">
        <v>75</v>
      </c>
      <c r="F218" s="1">
        <v>45018</v>
      </c>
      <c r="G218" t="s">
        <v>24</v>
      </c>
      <c r="H218" t="s">
        <v>25</v>
      </c>
    </row>
    <row r="219" spans="1:8" x14ac:dyDescent="0.3">
      <c r="A219" t="s">
        <v>259</v>
      </c>
      <c r="B219" t="s">
        <v>22</v>
      </c>
      <c r="C219" t="s">
        <v>23</v>
      </c>
      <c r="D219">
        <v>10</v>
      </c>
      <c r="E219">
        <v>150</v>
      </c>
      <c r="F219" s="1">
        <v>45168</v>
      </c>
      <c r="G219" t="s">
        <v>33</v>
      </c>
      <c r="H219" t="s">
        <v>25</v>
      </c>
    </row>
    <row r="220" spans="1:8" x14ac:dyDescent="0.3">
      <c r="A220" t="s">
        <v>260</v>
      </c>
      <c r="B220" t="s">
        <v>60</v>
      </c>
      <c r="C220" t="s">
        <v>57</v>
      </c>
      <c r="D220">
        <v>13</v>
      </c>
      <c r="E220">
        <v>50</v>
      </c>
      <c r="F220" s="1">
        <v>44928</v>
      </c>
      <c r="G220" t="s">
        <v>51</v>
      </c>
      <c r="H220" t="s">
        <v>43</v>
      </c>
    </row>
    <row r="221" spans="1:8" x14ac:dyDescent="0.3">
      <c r="A221" t="s">
        <v>261</v>
      </c>
      <c r="B221" t="s">
        <v>60</v>
      </c>
      <c r="C221" t="s">
        <v>57</v>
      </c>
      <c r="D221">
        <v>13</v>
      </c>
      <c r="E221">
        <v>75</v>
      </c>
      <c r="F221" s="1">
        <v>45151</v>
      </c>
      <c r="G221" t="s">
        <v>29</v>
      </c>
      <c r="H221" t="s">
        <v>36</v>
      </c>
    </row>
    <row r="222" spans="1:8" x14ac:dyDescent="0.3">
      <c r="A222" t="s">
        <v>262</v>
      </c>
      <c r="B222" t="s">
        <v>39</v>
      </c>
      <c r="C222" t="s">
        <v>23</v>
      </c>
      <c r="D222">
        <v>13</v>
      </c>
      <c r="E222">
        <v>50</v>
      </c>
      <c r="F222" s="1">
        <v>45042</v>
      </c>
      <c r="G222" t="s">
        <v>29</v>
      </c>
      <c r="H222" t="s">
        <v>40</v>
      </c>
    </row>
    <row r="223" spans="1:8" x14ac:dyDescent="0.3">
      <c r="A223" t="s">
        <v>263</v>
      </c>
      <c r="B223" t="s">
        <v>60</v>
      </c>
      <c r="C223" t="s">
        <v>46</v>
      </c>
      <c r="D223">
        <v>14</v>
      </c>
      <c r="E223">
        <v>200</v>
      </c>
      <c r="F223" s="1">
        <v>45029</v>
      </c>
      <c r="G223" t="s">
        <v>51</v>
      </c>
      <c r="H223" t="s">
        <v>43</v>
      </c>
    </row>
    <row r="224" spans="1:8" x14ac:dyDescent="0.3">
      <c r="A224" t="s">
        <v>264</v>
      </c>
      <c r="B224" t="s">
        <v>31</v>
      </c>
      <c r="C224" t="s">
        <v>32</v>
      </c>
      <c r="D224">
        <v>7</v>
      </c>
      <c r="E224">
        <v>50</v>
      </c>
      <c r="F224" s="1">
        <v>45120</v>
      </c>
      <c r="G224" t="s">
        <v>29</v>
      </c>
      <c r="H224" t="s">
        <v>43</v>
      </c>
    </row>
    <row r="225" spans="1:8" x14ac:dyDescent="0.3">
      <c r="A225" t="s">
        <v>265</v>
      </c>
      <c r="B225" t="s">
        <v>22</v>
      </c>
      <c r="C225" t="s">
        <v>23</v>
      </c>
      <c r="D225">
        <v>6</v>
      </c>
      <c r="E225">
        <v>75</v>
      </c>
      <c r="F225" s="1">
        <v>45092</v>
      </c>
      <c r="G225" t="s">
        <v>47</v>
      </c>
      <c r="H225" t="s">
        <v>43</v>
      </c>
    </row>
    <row r="226" spans="1:8" x14ac:dyDescent="0.3">
      <c r="A226" t="s">
        <v>266</v>
      </c>
      <c r="B226" t="s">
        <v>60</v>
      </c>
      <c r="C226" t="s">
        <v>28</v>
      </c>
      <c r="D226">
        <v>8</v>
      </c>
      <c r="E226">
        <v>150</v>
      </c>
      <c r="F226" s="1">
        <v>45016</v>
      </c>
      <c r="G226" t="s">
        <v>47</v>
      </c>
      <c r="H226" t="s">
        <v>25</v>
      </c>
    </row>
    <row r="227" spans="1:8" x14ac:dyDescent="0.3">
      <c r="A227" t="s">
        <v>267</v>
      </c>
      <c r="B227" t="s">
        <v>60</v>
      </c>
      <c r="C227" t="s">
        <v>28</v>
      </c>
      <c r="D227">
        <v>6</v>
      </c>
      <c r="E227">
        <v>200</v>
      </c>
      <c r="F227" s="1">
        <v>45048</v>
      </c>
      <c r="G227" t="s">
        <v>47</v>
      </c>
      <c r="H227" t="s">
        <v>40</v>
      </c>
    </row>
    <row r="228" spans="1:8" x14ac:dyDescent="0.3">
      <c r="A228" t="s">
        <v>268</v>
      </c>
      <c r="B228" t="s">
        <v>39</v>
      </c>
      <c r="C228" t="s">
        <v>57</v>
      </c>
      <c r="D228">
        <v>2</v>
      </c>
      <c r="E228">
        <v>75</v>
      </c>
      <c r="F228" s="1">
        <v>45069</v>
      </c>
      <c r="G228" t="s">
        <v>24</v>
      </c>
      <c r="H228" t="s">
        <v>40</v>
      </c>
    </row>
    <row r="229" spans="1:8" x14ac:dyDescent="0.3">
      <c r="A229" t="s">
        <v>269</v>
      </c>
      <c r="B229" t="s">
        <v>39</v>
      </c>
      <c r="C229" t="s">
        <v>42</v>
      </c>
      <c r="D229">
        <v>2</v>
      </c>
      <c r="E229">
        <v>200</v>
      </c>
      <c r="F229" s="1">
        <v>45032</v>
      </c>
      <c r="G229" t="s">
        <v>51</v>
      </c>
      <c r="H229" t="s">
        <v>36</v>
      </c>
    </row>
    <row r="230" spans="1:8" x14ac:dyDescent="0.3">
      <c r="A230" t="s">
        <v>270</v>
      </c>
      <c r="B230" t="s">
        <v>31</v>
      </c>
      <c r="C230" t="s">
        <v>32</v>
      </c>
      <c r="D230">
        <v>14</v>
      </c>
      <c r="E230">
        <v>100</v>
      </c>
      <c r="F230" s="1">
        <v>45354</v>
      </c>
      <c r="G230" t="s">
        <v>24</v>
      </c>
      <c r="H230" t="s">
        <v>40</v>
      </c>
    </row>
    <row r="231" spans="1:8" x14ac:dyDescent="0.3">
      <c r="A231" t="s">
        <v>271</v>
      </c>
      <c r="B231" t="s">
        <v>22</v>
      </c>
      <c r="C231" t="s">
        <v>57</v>
      </c>
      <c r="D231">
        <v>7</v>
      </c>
      <c r="E231">
        <v>50</v>
      </c>
      <c r="F231" s="1">
        <v>45231</v>
      </c>
      <c r="G231" t="s">
        <v>29</v>
      </c>
      <c r="H231" t="s">
        <v>40</v>
      </c>
    </row>
    <row r="232" spans="1:8" x14ac:dyDescent="0.3">
      <c r="A232" t="s">
        <v>272</v>
      </c>
      <c r="B232" t="s">
        <v>39</v>
      </c>
      <c r="C232" t="s">
        <v>42</v>
      </c>
      <c r="D232">
        <v>4</v>
      </c>
      <c r="E232">
        <v>100</v>
      </c>
      <c r="F232" s="1">
        <v>45243</v>
      </c>
      <c r="G232" t="s">
        <v>24</v>
      </c>
      <c r="H232" t="s">
        <v>43</v>
      </c>
    </row>
    <row r="233" spans="1:8" x14ac:dyDescent="0.3">
      <c r="A233" t="s">
        <v>273</v>
      </c>
      <c r="B233" t="s">
        <v>60</v>
      </c>
      <c r="C233" t="s">
        <v>42</v>
      </c>
      <c r="D233">
        <v>3</v>
      </c>
      <c r="E233">
        <v>75</v>
      </c>
      <c r="F233" s="1">
        <v>44935</v>
      </c>
      <c r="G233" t="s">
        <v>29</v>
      </c>
      <c r="H233" t="s">
        <v>36</v>
      </c>
    </row>
    <row r="234" spans="1:8" x14ac:dyDescent="0.3">
      <c r="A234" t="s">
        <v>274</v>
      </c>
      <c r="B234" t="s">
        <v>22</v>
      </c>
      <c r="C234" t="s">
        <v>28</v>
      </c>
      <c r="D234">
        <v>7</v>
      </c>
      <c r="E234">
        <v>150</v>
      </c>
      <c r="F234" s="1">
        <v>44999</v>
      </c>
      <c r="G234" t="s">
        <v>29</v>
      </c>
      <c r="H234" t="s">
        <v>40</v>
      </c>
    </row>
    <row r="235" spans="1:8" x14ac:dyDescent="0.3">
      <c r="A235" t="s">
        <v>275</v>
      </c>
      <c r="B235" t="s">
        <v>22</v>
      </c>
      <c r="C235" t="s">
        <v>46</v>
      </c>
      <c r="D235">
        <v>14</v>
      </c>
      <c r="E235">
        <v>200</v>
      </c>
      <c r="F235" s="1">
        <v>45285</v>
      </c>
      <c r="G235" t="s">
        <v>33</v>
      </c>
      <c r="H235" t="s">
        <v>25</v>
      </c>
    </row>
    <row r="236" spans="1:8" x14ac:dyDescent="0.3">
      <c r="A236" t="s">
        <v>276</v>
      </c>
      <c r="B236" t="s">
        <v>60</v>
      </c>
      <c r="C236" t="s">
        <v>35</v>
      </c>
      <c r="D236">
        <v>5</v>
      </c>
      <c r="E236">
        <v>50</v>
      </c>
      <c r="F236" s="1">
        <v>45149</v>
      </c>
      <c r="G236" t="s">
        <v>47</v>
      </c>
      <c r="H236" t="s">
        <v>40</v>
      </c>
    </row>
    <row r="237" spans="1:8" x14ac:dyDescent="0.3">
      <c r="A237" t="s">
        <v>277</v>
      </c>
      <c r="B237" t="s">
        <v>39</v>
      </c>
      <c r="C237" t="s">
        <v>46</v>
      </c>
      <c r="D237">
        <v>1</v>
      </c>
      <c r="E237">
        <v>200</v>
      </c>
      <c r="F237" s="1">
        <v>45342</v>
      </c>
      <c r="G237" t="s">
        <v>29</v>
      </c>
      <c r="H237" t="s">
        <v>43</v>
      </c>
    </row>
    <row r="238" spans="1:8" x14ac:dyDescent="0.3">
      <c r="A238" t="s">
        <v>278</v>
      </c>
      <c r="B238" t="s">
        <v>60</v>
      </c>
      <c r="C238" t="s">
        <v>35</v>
      </c>
      <c r="D238">
        <v>3</v>
      </c>
      <c r="E238">
        <v>75</v>
      </c>
      <c r="F238" s="1">
        <v>45296</v>
      </c>
      <c r="G238" t="s">
        <v>33</v>
      </c>
      <c r="H238" t="s">
        <v>25</v>
      </c>
    </row>
    <row r="239" spans="1:8" x14ac:dyDescent="0.3">
      <c r="A239" t="s">
        <v>279</v>
      </c>
      <c r="B239" t="s">
        <v>22</v>
      </c>
      <c r="C239" t="s">
        <v>23</v>
      </c>
      <c r="D239">
        <v>11</v>
      </c>
      <c r="E239">
        <v>200</v>
      </c>
      <c r="F239" s="1">
        <v>45190</v>
      </c>
      <c r="G239" t="s">
        <v>47</v>
      </c>
      <c r="H239" t="s">
        <v>43</v>
      </c>
    </row>
    <row r="240" spans="1:8" x14ac:dyDescent="0.3">
      <c r="A240" t="s">
        <v>280</v>
      </c>
      <c r="B240" t="s">
        <v>27</v>
      </c>
      <c r="C240" t="s">
        <v>28</v>
      </c>
      <c r="D240">
        <v>10</v>
      </c>
      <c r="E240">
        <v>50</v>
      </c>
      <c r="F240" s="1">
        <v>45244</v>
      </c>
      <c r="G240" t="s">
        <v>29</v>
      </c>
      <c r="H240" t="s">
        <v>40</v>
      </c>
    </row>
    <row r="241" spans="1:8" x14ac:dyDescent="0.3">
      <c r="A241" t="s">
        <v>281</v>
      </c>
      <c r="B241" t="s">
        <v>27</v>
      </c>
      <c r="C241" t="s">
        <v>42</v>
      </c>
      <c r="D241">
        <v>3</v>
      </c>
      <c r="E241">
        <v>75</v>
      </c>
      <c r="F241" s="1">
        <v>45010</v>
      </c>
      <c r="G241" t="s">
        <v>29</v>
      </c>
      <c r="H241" t="s">
        <v>25</v>
      </c>
    </row>
    <row r="242" spans="1:8" x14ac:dyDescent="0.3">
      <c r="A242" t="s">
        <v>282</v>
      </c>
      <c r="B242" t="s">
        <v>31</v>
      </c>
      <c r="C242" t="s">
        <v>32</v>
      </c>
      <c r="D242">
        <v>14</v>
      </c>
      <c r="E242">
        <v>200</v>
      </c>
      <c r="F242" s="1">
        <v>45244</v>
      </c>
      <c r="G242" t="s">
        <v>24</v>
      </c>
      <c r="H242" t="s">
        <v>36</v>
      </c>
    </row>
    <row r="243" spans="1:8" x14ac:dyDescent="0.3">
      <c r="A243" t="s">
        <v>283</v>
      </c>
      <c r="B243" t="s">
        <v>60</v>
      </c>
      <c r="C243" t="s">
        <v>35</v>
      </c>
      <c r="D243">
        <v>5</v>
      </c>
      <c r="E243">
        <v>150</v>
      </c>
      <c r="F243" s="1">
        <v>45037</v>
      </c>
      <c r="G243" t="s">
        <v>24</v>
      </c>
      <c r="H243" t="s">
        <v>36</v>
      </c>
    </row>
    <row r="244" spans="1:8" x14ac:dyDescent="0.3">
      <c r="A244" t="s">
        <v>284</v>
      </c>
      <c r="B244" t="s">
        <v>60</v>
      </c>
      <c r="C244" t="s">
        <v>46</v>
      </c>
      <c r="D244">
        <v>5</v>
      </c>
      <c r="E244">
        <v>75</v>
      </c>
      <c r="F244" s="1">
        <v>45177</v>
      </c>
      <c r="G244" t="s">
        <v>47</v>
      </c>
      <c r="H244" t="s">
        <v>25</v>
      </c>
    </row>
    <row r="245" spans="1:8" x14ac:dyDescent="0.3">
      <c r="A245" t="s">
        <v>285</v>
      </c>
      <c r="B245" t="s">
        <v>31</v>
      </c>
      <c r="C245" t="s">
        <v>42</v>
      </c>
      <c r="D245">
        <v>0</v>
      </c>
      <c r="E245">
        <v>75</v>
      </c>
      <c r="F245" s="1">
        <v>45309</v>
      </c>
      <c r="G245" t="s">
        <v>29</v>
      </c>
      <c r="H245" t="s">
        <v>25</v>
      </c>
    </row>
    <row r="246" spans="1:8" x14ac:dyDescent="0.3">
      <c r="A246" t="s">
        <v>286</v>
      </c>
      <c r="B246" t="s">
        <v>31</v>
      </c>
      <c r="C246" t="s">
        <v>35</v>
      </c>
      <c r="D246">
        <v>13</v>
      </c>
      <c r="E246">
        <v>150</v>
      </c>
      <c r="F246" s="1">
        <v>44933</v>
      </c>
      <c r="G246" t="s">
        <v>51</v>
      </c>
      <c r="H246" t="s">
        <v>43</v>
      </c>
    </row>
    <row r="247" spans="1:8" x14ac:dyDescent="0.3">
      <c r="A247" t="s">
        <v>287</v>
      </c>
      <c r="B247" t="s">
        <v>31</v>
      </c>
      <c r="C247" t="s">
        <v>35</v>
      </c>
      <c r="D247">
        <v>7</v>
      </c>
      <c r="E247">
        <v>100</v>
      </c>
      <c r="F247" s="1">
        <v>45385</v>
      </c>
      <c r="G247" t="s">
        <v>24</v>
      </c>
      <c r="H247" t="s">
        <v>25</v>
      </c>
    </row>
    <row r="248" spans="1:8" x14ac:dyDescent="0.3">
      <c r="A248" t="s">
        <v>288</v>
      </c>
      <c r="B248" t="s">
        <v>22</v>
      </c>
      <c r="C248" t="s">
        <v>35</v>
      </c>
      <c r="D248">
        <v>5</v>
      </c>
      <c r="E248">
        <v>50</v>
      </c>
      <c r="F248" s="1">
        <v>45010</v>
      </c>
      <c r="G248" t="s">
        <v>47</v>
      </c>
      <c r="H248" t="s">
        <v>43</v>
      </c>
    </row>
    <row r="249" spans="1:8" x14ac:dyDescent="0.3">
      <c r="A249" t="s">
        <v>289</v>
      </c>
      <c r="B249" t="s">
        <v>60</v>
      </c>
      <c r="C249" t="s">
        <v>32</v>
      </c>
      <c r="D249">
        <v>2</v>
      </c>
      <c r="E249">
        <v>100</v>
      </c>
      <c r="F249" s="1">
        <v>45134</v>
      </c>
      <c r="G249" t="s">
        <v>29</v>
      </c>
      <c r="H249" t="s">
        <v>40</v>
      </c>
    </row>
    <row r="250" spans="1:8" x14ac:dyDescent="0.3">
      <c r="A250" t="s">
        <v>290</v>
      </c>
      <c r="B250" t="s">
        <v>22</v>
      </c>
      <c r="C250" t="s">
        <v>28</v>
      </c>
      <c r="D250">
        <v>13</v>
      </c>
      <c r="E250">
        <v>200</v>
      </c>
      <c r="F250" s="1">
        <v>45316</v>
      </c>
      <c r="G250" t="s">
        <v>29</v>
      </c>
      <c r="H250" t="s">
        <v>43</v>
      </c>
    </row>
    <row r="251" spans="1:8" x14ac:dyDescent="0.3">
      <c r="A251" t="s">
        <v>291</v>
      </c>
      <c r="B251" t="s">
        <v>31</v>
      </c>
      <c r="C251" t="s">
        <v>32</v>
      </c>
      <c r="D251">
        <v>8</v>
      </c>
      <c r="E251">
        <v>150</v>
      </c>
      <c r="F251" s="1">
        <v>45240</v>
      </c>
      <c r="G251" t="s">
        <v>51</v>
      </c>
      <c r="H251" t="s">
        <v>25</v>
      </c>
    </row>
    <row r="252" spans="1:8" x14ac:dyDescent="0.3">
      <c r="A252" t="s">
        <v>292</v>
      </c>
      <c r="B252" t="s">
        <v>60</v>
      </c>
      <c r="C252" t="s">
        <v>57</v>
      </c>
      <c r="D252">
        <v>1</v>
      </c>
      <c r="E252">
        <v>100</v>
      </c>
      <c r="F252" s="1">
        <v>44948</v>
      </c>
      <c r="G252" t="s">
        <v>47</v>
      </c>
      <c r="H252" t="s">
        <v>25</v>
      </c>
    </row>
    <row r="253" spans="1:8" x14ac:dyDescent="0.3">
      <c r="A253" t="s">
        <v>293</v>
      </c>
      <c r="B253" t="s">
        <v>22</v>
      </c>
      <c r="C253" t="s">
        <v>42</v>
      </c>
      <c r="D253">
        <v>14</v>
      </c>
      <c r="E253">
        <v>75</v>
      </c>
      <c r="F253" s="1">
        <v>45336</v>
      </c>
      <c r="G253" t="s">
        <v>29</v>
      </c>
      <c r="H253" t="s">
        <v>40</v>
      </c>
    </row>
    <row r="254" spans="1:8" x14ac:dyDescent="0.3">
      <c r="A254" t="s">
        <v>294</v>
      </c>
      <c r="B254" t="s">
        <v>22</v>
      </c>
      <c r="C254" t="s">
        <v>28</v>
      </c>
      <c r="D254">
        <v>10</v>
      </c>
      <c r="E254">
        <v>200</v>
      </c>
      <c r="F254" s="1">
        <v>45441</v>
      </c>
      <c r="G254" t="s">
        <v>24</v>
      </c>
      <c r="H254" t="s">
        <v>25</v>
      </c>
    </row>
    <row r="255" spans="1:8" x14ac:dyDescent="0.3">
      <c r="A255" t="s">
        <v>295</v>
      </c>
      <c r="B255" t="s">
        <v>31</v>
      </c>
      <c r="C255" t="s">
        <v>28</v>
      </c>
      <c r="D255">
        <v>7</v>
      </c>
      <c r="E255">
        <v>200</v>
      </c>
      <c r="F255" s="1">
        <v>45053</v>
      </c>
      <c r="G255" t="s">
        <v>51</v>
      </c>
      <c r="H255" t="s">
        <v>25</v>
      </c>
    </row>
    <row r="256" spans="1:8" x14ac:dyDescent="0.3">
      <c r="A256" t="s">
        <v>296</v>
      </c>
      <c r="B256" t="s">
        <v>60</v>
      </c>
      <c r="C256" t="s">
        <v>28</v>
      </c>
      <c r="D256">
        <v>9</v>
      </c>
      <c r="E256">
        <v>100</v>
      </c>
      <c r="F256" s="1">
        <v>44940</v>
      </c>
      <c r="G256" t="s">
        <v>47</v>
      </c>
      <c r="H256" t="s">
        <v>36</v>
      </c>
    </row>
    <row r="257" spans="1:8" x14ac:dyDescent="0.3">
      <c r="A257" t="s">
        <v>297</v>
      </c>
      <c r="B257" t="s">
        <v>31</v>
      </c>
      <c r="C257" t="s">
        <v>46</v>
      </c>
      <c r="D257">
        <v>2</v>
      </c>
      <c r="E257">
        <v>100</v>
      </c>
      <c r="F257" s="1">
        <v>44938</v>
      </c>
      <c r="G257" t="s">
        <v>51</v>
      </c>
      <c r="H257" t="s">
        <v>36</v>
      </c>
    </row>
    <row r="258" spans="1:8" x14ac:dyDescent="0.3">
      <c r="A258" t="s">
        <v>298</v>
      </c>
      <c r="B258" t="s">
        <v>60</v>
      </c>
      <c r="C258" t="s">
        <v>28</v>
      </c>
      <c r="D258">
        <v>12</v>
      </c>
      <c r="E258">
        <v>150</v>
      </c>
      <c r="F258" s="1">
        <v>45013</v>
      </c>
      <c r="G258" t="s">
        <v>24</v>
      </c>
      <c r="H258" t="s">
        <v>40</v>
      </c>
    </row>
    <row r="259" spans="1:8" x14ac:dyDescent="0.3">
      <c r="A259" t="s">
        <v>299</v>
      </c>
      <c r="B259" t="s">
        <v>27</v>
      </c>
      <c r="C259" t="s">
        <v>32</v>
      </c>
      <c r="D259">
        <v>11</v>
      </c>
      <c r="E259">
        <v>50</v>
      </c>
      <c r="F259" s="1">
        <v>45450</v>
      </c>
      <c r="G259" t="s">
        <v>47</v>
      </c>
      <c r="H259" t="s">
        <v>43</v>
      </c>
    </row>
    <row r="260" spans="1:8" x14ac:dyDescent="0.3">
      <c r="A260" t="s">
        <v>300</v>
      </c>
      <c r="B260" t="s">
        <v>39</v>
      </c>
      <c r="C260" t="s">
        <v>28</v>
      </c>
      <c r="D260">
        <v>4</v>
      </c>
      <c r="E260">
        <v>100</v>
      </c>
      <c r="F260" s="1">
        <v>45463</v>
      </c>
      <c r="G260" t="s">
        <v>51</v>
      </c>
      <c r="H260" t="s">
        <v>36</v>
      </c>
    </row>
    <row r="261" spans="1:8" x14ac:dyDescent="0.3">
      <c r="A261" t="s">
        <v>301</v>
      </c>
      <c r="B261" t="s">
        <v>39</v>
      </c>
      <c r="C261" t="s">
        <v>23</v>
      </c>
      <c r="D261">
        <v>5</v>
      </c>
      <c r="E261">
        <v>100</v>
      </c>
      <c r="F261" s="1">
        <v>45227</v>
      </c>
      <c r="G261" t="s">
        <v>33</v>
      </c>
      <c r="H261" t="s">
        <v>43</v>
      </c>
    </row>
    <row r="262" spans="1:8" x14ac:dyDescent="0.3">
      <c r="A262" t="s">
        <v>302</v>
      </c>
      <c r="B262" t="s">
        <v>39</v>
      </c>
      <c r="C262" t="s">
        <v>42</v>
      </c>
      <c r="D262">
        <v>9</v>
      </c>
      <c r="E262">
        <v>75</v>
      </c>
      <c r="F262" s="1">
        <v>45169</v>
      </c>
      <c r="G262" t="s">
        <v>24</v>
      </c>
      <c r="H262" t="s">
        <v>25</v>
      </c>
    </row>
    <row r="263" spans="1:8" x14ac:dyDescent="0.3">
      <c r="A263" t="s">
        <v>303</v>
      </c>
      <c r="B263" t="s">
        <v>31</v>
      </c>
      <c r="C263" t="s">
        <v>28</v>
      </c>
      <c r="D263">
        <v>5</v>
      </c>
      <c r="E263">
        <v>200</v>
      </c>
      <c r="F263" s="1">
        <v>45048</v>
      </c>
      <c r="G263" t="s">
        <v>24</v>
      </c>
      <c r="H263" t="s">
        <v>36</v>
      </c>
    </row>
    <row r="264" spans="1:8" x14ac:dyDescent="0.3">
      <c r="A264" t="s">
        <v>304</v>
      </c>
      <c r="B264" t="s">
        <v>27</v>
      </c>
      <c r="C264" t="s">
        <v>42</v>
      </c>
      <c r="D264">
        <v>3</v>
      </c>
      <c r="E264">
        <v>50</v>
      </c>
      <c r="F264" s="1">
        <v>45073</v>
      </c>
      <c r="G264" t="s">
        <v>24</v>
      </c>
      <c r="H264" t="s">
        <v>40</v>
      </c>
    </row>
    <row r="265" spans="1:8" x14ac:dyDescent="0.3">
      <c r="A265" t="s">
        <v>305</v>
      </c>
      <c r="B265" t="s">
        <v>60</v>
      </c>
      <c r="C265" t="s">
        <v>23</v>
      </c>
      <c r="D265">
        <v>2</v>
      </c>
      <c r="E265">
        <v>75</v>
      </c>
      <c r="F265" s="1">
        <v>45282</v>
      </c>
      <c r="G265" t="s">
        <v>33</v>
      </c>
      <c r="H265" t="s">
        <v>40</v>
      </c>
    </row>
    <row r="266" spans="1:8" x14ac:dyDescent="0.3">
      <c r="A266" t="s">
        <v>306</v>
      </c>
      <c r="B266" t="s">
        <v>22</v>
      </c>
      <c r="C266" t="s">
        <v>23</v>
      </c>
      <c r="D266">
        <v>3</v>
      </c>
      <c r="E266">
        <v>150</v>
      </c>
      <c r="F266" s="1">
        <v>45235</v>
      </c>
      <c r="G266" t="s">
        <v>33</v>
      </c>
      <c r="H266" t="s">
        <v>40</v>
      </c>
    </row>
    <row r="267" spans="1:8" x14ac:dyDescent="0.3">
      <c r="A267" t="s">
        <v>307</v>
      </c>
      <c r="B267" t="s">
        <v>60</v>
      </c>
      <c r="C267" t="s">
        <v>42</v>
      </c>
      <c r="D267">
        <v>0</v>
      </c>
      <c r="E267">
        <v>150</v>
      </c>
      <c r="F267" s="1">
        <v>45214</v>
      </c>
      <c r="G267" t="s">
        <v>29</v>
      </c>
      <c r="H267" t="s">
        <v>36</v>
      </c>
    </row>
    <row r="268" spans="1:8" x14ac:dyDescent="0.3">
      <c r="A268" t="s">
        <v>308</v>
      </c>
      <c r="B268" t="s">
        <v>22</v>
      </c>
      <c r="C268" t="s">
        <v>35</v>
      </c>
      <c r="D268">
        <v>3</v>
      </c>
      <c r="E268">
        <v>100</v>
      </c>
      <c r="F268" s="1">
        <v>45233</v>
      </c>
      <c r="G268" t="s">
        <v>51</v>
      </c>
      <c r="H268" t="s">
        <v>43</v>
      </c>
    </row>
    <row r="269" spans="1:8" x14ac:dyDescent="0.3">
      <c r="A269" t="s">
        <v>309</v>
      </c>
      <c r="B269" t="s">
        <v>60</v>
      </c>
      <c r="C269" t="s">
        <v>57</v>
      </c>
      <c r="D269">
        <v>0</v>
      </c>
      <c r="E269">
        <v>100</v>
      </c>
      <c r="F269" s="1">
        <v>45278</v>
      </c>
      <c r="G269" t="s">
        <v>29</v>
      </c>
      <c r="H269" t="s">
        <v>25</v>
      </c>
    </row>
    <row r="270" spans="1:8" x14ac:dyDescent="0.3">
      <c r="A270" t="s">
        <v>310</v>
      </c>
      <c r="B270" t="s">
        <v>27</v>
      </c>
      <c r="C270" t="s">
        <v>46</v>
      </c>
      <c r="D270">
        <v>11</v>
      </c>
      <c r="E270">
        <v>150</v>
      </c>
      <c r="F270" s="1">
        <v>45238</v>
      </c>
      <c r="G270" t="s">
        <v>51</v>
      </c>
      <c r="H270" t="s">
        <v>43</v>
      </c>
    </row>
    <row r="271" spans="1:8" x14ac:dyDescent="0.3">
      <c r="A271" t="s">
        <v>311</v>
      </c>
      <c r="B271" t="s">
        <v>22</v>
      </c>
      <c r="C271" t="s">
        <v>35</v>
      </c>
      <c r="D271">
        <v>14</v>
      </c>
      <c r="E271">
        <v>100</v>
      </c>
      <c r="F271" s="1">
        <v>44985</v>
      </c>
      <c r="G271" t="s">
        <v>33</v>
      </c>
      <c r="H271" t="s">
        <v>43</v>
      </c>
    </row>
    <row r="272" spans="1:8" x14ac:dyDescent="0.3">
      <c r="A272" t="s">
        <v>312</v>
      </c>
      <c r="B272" t="s">
        <v>31</v>
      </c>
      <c r="C272" t="s">
        <v>35</v>
      </c>
      <c r="D272">
        <v>0</v>
      </c>
      <c r="E272">
        <v>50</v>
      </c>
      <c r="F272" s="1">
        <v>44961</v>
      </c>
      <c r="G272" t="s">
        <v>33</v>
      </c>
      <c r="H272" t="s">
        <v>25</v>
      </c>
    </row>
    <row r="273" spans="1:8" x14ac:dyDescent="0.3">
      <c r="A273" t="s">
        <v>313</v>
      </c>
      <c r="B273" t="s">
        <v>60</v>
      </c>
      <c r="C273" t="s">
        <v>32</v>
      </c>
      <c r="D273">
        <v>9</v>
      </c>
      <c r="E273">
        <v>100</v>
      </c>
      <c r="F273" s="1">
        <v>45371</v>
      </c>
      <c r="G273" t="s">
        <v>29</v>
      </c>
      <c r="H273" t="s">
        <v>25</v>
      </c>
    </row>
    <row r="274" spans="1:8" x14ac:dyDescent="0.3">
      <c r="A274" t="s">
        <v>314</v>
      </c>
      <c r="B274" t="s">
        <v>60</v>
      </c>
      <c r="C274" t="s">
        <v>46</v>
      </c>
      <c r="D274">
        <v>13</v>
      </c>
      <c r="E274">
        <v>200</v>
      </c>
      <c r="F274" s="1">
        <v>45019</v>
      </c>
      <c r="G274" t="s">
        <v>47</v>
      </c>
      <c r="H274" t="s">
        <v>36</v>
      </c>
    </row>
    <row r="275" spans="1:8" x14ac:dyDescent="0.3">
      <c r="A275" t="s">
        <v>315</v>
      </c>
      <c r="B275" t="s">
        <v>22</v>
      </c>
      <c r="C275" t="s">
        <v>46</v>
      </c>
      <c r="D275">
        <v>5</v>
      </c>
      <c r="E275">
        <v>100</v>
      </c>
      <c r="F275" s="1">
        <v>45133</v>
      </c>
      <c r="G275" t="s">
        <v>29</v>
      </c>
      <c r="H275" t="s">
        <v>36</v>
      </c>
    </row>
    <row r="276" spans="1:8" x14ac:dyDescent="0.3">
      <c r="A276" t="s">
        <v>316</v>
      </c>
      <c r="B276" t="s">
        <v>31</v>
      </c>
      <c r="C276" t="s">
        <v>35</v>
      </c>
      <c r="D276">
        <v>4</v>
      </c>
      <c r="E276">
        <v>75</v>
      </c>
      <c r="F276" s="1">
        <v>45279</v>
      </c>
      <c r="G276" t="s">
        <v>51</v>
      </c>
      <c r="H276" t="s">
        <v>36</v>
      </c>
    </row>
    <row r="277" spans="1:8" x14ac:dyDescent="0.3">
      <c r="A277" t="s">
        <v>317</v>
      </c>
      <c r="B277" t="s">
        <v>31</v>
      </c>
      <c r="C277" t="s">
        <v>28</v>
      </c>
      <c r="D277">
        <v>13</v>
      </c>
      <c r="E277">
        <v>50</v>
      </c>
      <c r="F277" s="1">
        <v>45258</v>
      </c>
      <c r="G277" t="s">
        <v>29</v>
      </c>
      <c r="H277" t="s">
        <v>36</v>
      </c>
    </row>
    <row r="278" spans="1:8" x14ac:dyDescent="0.3">
      <c r="A278" t="s">
        <v>318</v>
      </c>
      <c r="B278" t="s">
        <v>27</v>
      </c>
      <c r="C278" t="s">
        <v>32</v>
      </c>
      <c r="D278">
        <v>10</v>
      </c>
      <c r="E278">
        <v>75</v>
      </c>
      <c r="F278" s="1">
        <v>45085</v>
      </c>
      <c r="G278" t="s">
        <v>24</v>
      </c>
      <c r="H278" t="s">
        <v>36</v>
      </c>
    </row>
    <row r="279" spans="1:8" x14ac:dyDescent="0.3">
      <c r="A279" t="s">
        <v>319</v>
      </c>
      <c r="B279" t="s">
        <v>31</v>
      </c>
      <c r="C279" t="s">
        <v>32</v>
      </c>
      <c r="D279">
        <v>14</v>
      </c>
      <c r="E279">
        <v>75</v>
      </c>
      <c r="F279" s="1">
        <v>44950</v>
      </c>
      <c r="G279" t="s">
        <v>51</v>
      </c>
      <c r="H279" t="s">
        <v>25</v>
      </c>
    </row>
    <row r="280" spans="1:8" x14ac:dyDescent="0.3">
      <c r="A280" t="s">
        <v>320</v>
      </c>
      <c r="B280" t="s">
        <v>31</v>
      </c>
      <c r="C280" t="s">
        <v>23</v>
      </c>
      <c r="D280">
        <v>3</v>
      </c>
      <c r="E280">
        <v>200</v>
      </c>
      <c r="F280" s="1">
        <v>45330</v>
      </c>
      <c r="G280" t="s">
        <v>51</v>
      </c>
      <c r="H280" t="s">
        <v>43</v>
      </c>
    </row>
    <row r="281" spans="1:8" x14ac:dyDescent="0.3">
      <c r="A281" t="s">
        <v>321</v>
      </c>
      <c r="B281" t="s">
        <v>31</v>
      </c>
      <c r="C281" t="s">
        <v>46</v>
      </c>
      <c r="D281">
        <v>12</v>
      </c>
      <c r="E281">
        <v>50</v>
      </c>
      <c r="F281" s="1">
        <v>45442</v>
      </c>
      <c r="G281" t="s">
        <v>47</v>
      </c>
      <c r="H281" t="s">
        <v>36</v>
      </c>
    </row>
    <row r="282" spans="1:8" x14ac:dyDescent="0.3">
      <c r="A282" t="s">
        <v>322</v>
      </c>
      <c r="B282" t="s">
        <v>39</v>
      </c>
      <c r="C282" t="s">
        <v>35</v>
      </c>
      <c r="D282">
        <v>10</v>
      </c>
      <c r="E282">
        <v>50</v>
      </c>
      <c r="F282" s="1">
        <v>45290</v>
      </c>
      <c r="G282" t="s">
        <v>33</v>
      </c>
      <c r="H282" t="s">
        <v>36</v>
      </c>
    </row>
    <row r="283" spans="1:8" x14ac:dyDescent="0.3">
      <c r="A283" t="s">
        <v>323</v>
      </c>
      <c r="B283" t="s">
        <v>27</v>
      </c>
      <c r="C283" t="s">
        <v>23</v>
      </c>
      <c r="D283">
        <v>2</v>
      </c>
      <c r="E283">
        <v>50</v>
      </c>
      <c r="F283" s="1">
        <v>45308</v>
      </c>
      <c r="G283" t="s">
        <v>51</v>
      </c>
      <c r="H283" t="s">
        <v>43</v>
      </c>
    </row>
    <row r="284" spans="1:8" x14ac:dyDescent="0.3">
      <c r="A284" t="s">
        <v>324</v>
      </c>
      <c r="B284" t="s">
        <v>60</v>
      </c>
      <c r="C284" t="s">
        <v>42</v>
      </c>
      <c r="D284">
        <v>0</v>
      </c>
      <c r="E284">
        <v>50</v>
      </c>
      <c r="F284" s="1">
        <v>45458</v>
      </c>
      <c r="G284" t="s">
        <v>33</v>
      </c>
      <c r="H284" t="s">
        <v>36</v>
      </c>
    </row>
    <row r="285" spans="1:8" x14ac:dyDescent="0.3">
      <c r="A285" t="s">
        <v>325</v>
      </c>
      <c r="B285" t="s">
        <v>22</v>
      </c>
      <c r="C285" t="s">
        <v>57</v>
      </c>
      <c r="D285">
        <v>5</v>
      </c>
      <c r="E285">
        <v>50</v>
      </c>
      <c r="F285" s="1">
        <v>45078</v>
      </c>
      <c r="G285" t="s">
        <v>29</v>
      </c>
      <c r="H285" t="s">
        <v>43</v>
      </c>
    </row>
    <row r="286" spans="1:8" x14ac:dyDescent="0.3">
      <c r="A286" t="s">
        <v>326</v>
      </c>
      <c r="B286" t="s">
        <v>60</v>
      </c>
      <c r="C286" t="s">
        <v>32</v>
      </c>
      <c r="D286">
        <v>1</v>
      </c>
      <c r="E286">
        <v>200</v>
      </c>
      <c r="F286" s="1">
        <v>45346</v>
      </c>
      <c r="G286" t="s">
        <v>24</v>
      </c>
      <c r="H286" t="s">
        <v>43</v>
      </c>
    </row>
    <row r="287" spans="1:8" x14ac:dyDescent="0.3">
      <c r="A287" t="s">
        <v>327</v>
      </c>
      <c r="B287" t="s">
        <v>27</v>
      </c>
      <c r="C287" t="s">
        <v>42</v>
      </c>
      <c r="D287">
        <v>7</v>
      </c>
      <c r="E287">
        <v>100</v>
      </c>
      <c r="F287" s="1">
        <v>45176</v>
      </c>
      <c r="G287" t="s">
        <v>47</v>
      </c>
      <c r="H287" t="s">
        <v>25</v>
      </c>
    </row>
    <row r="288" spans="1:8" x14ac:dyDescent="0.3">
      <c r="A288" t="s">
        <v>328</v>
      </c>
      <c r="B288" t="s">
        <v>22</v>
      </c>
      <c r="C288" t="s">
        <v>42</v>
      </c>
      <c r="D288">
        <v>9</v>
      </c>
      <c r="E288">
        <v>75</v>
      </c>
      <c r="F288" s="1">
        <v>45043</v>
      </c>
      <c r="G288" t="s">
        <v>33</v>
      </c>
      <c r="H288" t="s">
        <v>40</v>
      </c>
    </row>
    <row r="289" spans="1:8" x14ac:dyDescent="0.3">
      <c r="A289" t="s">
        <v>329</v>
      </c>
      <c r="B289" t="s">
        <v>27</v>
      </c>
      <c r="C289" t="s">
        <v>28</v>
      </c>
      <c r="D289">
        <v>4</v>
      </c>
      <c r="E289">
        <v>50</v>
      </c>
      <c r="F289" s="1">
        <v>45438</v>
      </c>
      <c r="G289" t="s">
        <v>51</v>
      </c>
      <c r="H289" t="s">
        <v>25</v>
      </c>
    </row>
    <row r="290" spans="1:8" x14ac:dyDescent="0.3">
      <c r="A290" t="s">
        <v>330</v>
      </c>
      <c r="B290" t="s">
        <v>31</v>
      </c>
      <c r="C290" t="s">
        <v>57</v>
      </c>
      <c r="D290">
        <v>6</v>
      </c>
      <c r="E290">
        <v>100</v>
      </c>
      <c r="F290" s="1">
        <v>45261</v>
      </c>
      <c r="G290" t="s">
        <v>33</v>
      </c>
      <c r="H290" t="s">
        <v>40</v>
      </c>
    </row>
    <row r="291" spans="1:8" x14ac:dyDescent="0.3">
      <c r="A291" t="s">
        <v>331</v>
      </c>
      <c r="B291" t="s">
        <v>22</v>
      </c>
      <c r="C291" t="s">
        <v>42</v>
      </c>
      <c r="D291">
        <v>9</v>
      </c>
      <c r="E291">
        <v>100</v>
      </c>
      <c r="F291" s="1">
        <v>45344</v>
      </c>
      <c r="G291" t="s">
        <v>51</v>
      </c>
      <c r="H291" t="s">
        <v>40</v>
      </c>
    </row>
    <row r="292" spans="1:8" x14ac:dyDescent="0.3">
      <c r="A292" t="s">
        <v>332</v>
      </c>
      <c r="B292" t="s">
        <v>31</v>
      </c>
      <c r="C292" t="s">
        <v>42</v>
      </c>
      <c r="D292">
        <v>11</v>
      </c>
      <c r="E292">
        <v>75</v>
      </c>
      <c r="F292" s="1">
        <v>45221</v>
      </c>
      <c r="G292" t="s">
        <v>33</v>
      </c>
      <c r="H292" t="s">
        <v>40</v>
      </c>
    </row>
    <row r="293" spans="1:8" x14ac:dyDescent="0.3">
      <c r="A293" t="s">
        <v>333</v>
      </c>
      <c r="B293" t="s">
        <v>60</v>
      </c>
      <c r="C293" t="s">
        <v>57</v>
      </c>
      <c r="D293">
        <v>1</v>
      </c>
      <c r="E293">
        <v>200</v>
      </c>
      <c r="F293" s="1">
        <v>45297</v>
      </c>
      <c r="G293" t="s">
        <v>51</v>
      </c>
      <c r="H293" t="s">
        <v>36</v>
      </c>
    </row>
    <row r="294" spans="1:8" x14ac:dyDescent="0.3">
      <c r="A294" t="s">
        <v>334</v>
      </c>
      <c r="B294" t="s">
        <v>60</v>
      </c>
      <c r="C294" t="s">
        <v>57</v>
      </c>
      <c r="D294">
        <v>12</v>
      </c>
      <c r="E294">
        <v>150</v>
      </c>
      <c r="F294" s="1">
        <v>45112</v>
      </c>
      <c r="G294" t="s">
        <v>29</v>
      </c>
      <c r="H294" t="s">
        <v>25</v>
      </c>
    </row>
    <row r="295" spans="1:8" x14ac:dyDescent="0.3">
      <c r="A295" t="s">
        <v>335</v>
      </c>
      <c r="B295" t="s">
        <v>22</v>
      </c>
      <c r="C295" t="s">
        <v>42</v>
      </c>
      <c r="D295">
        <v>7</v>
      </c>
      <c r="E295">
        <v>150</v>
      </c>
      <c r="F295" s="1">
        <v>45172</v>
      </c>
      <c r="G295" t="s">
        <v>51</v>
      </c>
      <c r="H295" t="s">
        <v>40</v>
      </c>
    </row>
    <row r="296" spans="1:8" x14ac:dyDescent="0.3">
      <c r="A296" t="s">
        <v>336</v>
      </c>
      <c r="B296" t="s">
        <v>22</v>
      </c>
      <c r="C296" t="s">
        <v>57</v>
      </c>
      <c r="D296">
        <v>1</v>
      </c>
      <c r="E296">
        <v>100</v>
      </c>
      <c r="F296" s="1">
        <v>45194</v>
      </c>
      <c r="G296" t="s">
        <v>51</v>
      </c>
      <c r="H296" t="s">
        <v>43</v>
      </c>
    </row>
    <row r="297" spans="1:8" x14ac:dyDescent="0.3">
      <c r="A297" t="s">
        <v>337</v>
      </c>
      <c r="B297" t="s">
        <v>27</v>
      </c>
      <c r="C297" t="s">
        <v>42</v>
      </c>
      <c r="D297">
        <v>3</v>
      </c>
      <c r="E297">
        <v>75</v>
      </c>
      <c r="F297" s="1">
        <v>45163</v>
      </c>
      <c r="G297" t="s">
        <v>24</v>
      </c>
      <c r="H297" t="s">
        <v>36</v>
      </c>
    </row>
    <row r="298" spans="1:8" x14ac:dyDescent="0.3">
      <c r="A298" t="s">
        <v>338</v>
      </c>
      <c r="B298" t="s">
        <v>27</v>
      </c>
      <c r="C298" t="s">
        <v>42</v>
      </c>
      <c r="D298">
        <v>0</v>
      </c>
      <c r="E298">
        <v>150</v>
      </c>
      <c r="F298" s="1">
        <v>45456</v>
      </c>
      <c r="G298" t="s">
        <v>51</v>
      </c>
      <c r="H298" t="s">
        <v>25</v>
      </c>
    </row>
    <row r="299" spans="1:8" x14ac:dyDescent="0.3">
      <c r="A299" t="s">
        <v>339</v>
      </c>
      <c r="B299" t="s">
        <v>31</v>
      </c>
      <c r="C299" t="s">
        <v>28</v>
      </c>
      <c r="D299">
        <v>14</v>
      </c>
      <c r="E299">
        <v>100</v>
      </c>
      <c r="F299" s="1">
        <v>44947</v>
      </c>
      <c r="G299" t="s">
        <v>24</v>
      </c>
      <c r="H299" t="s">
        <v>40</v>
      </c>
    </row>
    <row r="300" spans="1:8" x14ac:dyDescent="0.3">
      <c r="A300" t="s">
        <v>340</v>
      </c>
      <c r="B300" t="s">
        <v>22</v>
      </c>
      <c r="C300" t="s">
        <v>35</v>
      </c>
      <c r="D300">
        <v>4</v>
      </c>
      <c r="E300">
        <v>200</v>
      </c>
      <c r="F300" s="1">
        <v>45446</v>
      </c>
      <c r="G300" t="s">
        <v>47</v>
      </c>
      <c r="H300" t="s">
        <v>43</v>
      </c>
    </row>
    <row r="301" spans="1:8" x14ac:dyDescent="0.3">
      <c r="A301" t="s">
        <v>341</v>
      </c>
      <c r="B301" t="s">
        <v>60</v>
      </c>
      <c r="C301" t="s">
        <v>42</v>
      </c>
      <c r="D301">
        <v>8</v>
      </c>
      <c r="E301">
        <v>150</v>
      </c>
      <c r="F301" s="1">
        <v>45026</v>
      </c>
      <c r="G301" t="s">
        <v>24</v>
      </c>
      <c r="H301" t="s">
        <v>25</v>
      </c>
    </row>
    <row r="302" spans="1:8" x14ac:dyDescent="0.3">
      <c r="A302" t="s">
        <v>342</v>
      </c>
      <c r="B302" t="s">
        <v>27</v>
      </c>
      <c r="C302" t="s">
        <v>23</v>
      </c>
      <c r="D302">
        <v>0</v>
      </c>
      <c r="E302">
        <v>100</v>
      </c>
      <c r="F302" s="1">
        <v>45404</v>
      </c>
      <c r="G302" t="s">
        <v>29</v>
      </c>
      <c r="H302" t="s">
        <v>25</v>
      </c>
    </row>
    <row r="303" spans="1:8" x14ac:dyDescent="0.3">
      <c r="A303" t="s">
        <v>343</v>
      </c>
      <c r="B303" t="s">
        <v>27</v>
      </c>
      <c r="C303" t="s">
        <v>32</v>
      </c>
      <c r="D303">
        <v>8</v>
      </c>
      <c r="E303">
        <v>100</v>
      </c>
      <c r="F303" s="1">
        <v>45224</v>
      </c>
      <c r="G303" t="s">
        <v>24</v>
      </c>
      <c r="H303" t="s">
        <v>36</v>
      </c>
    </row>
    <row r="304" spans="1:8" x14ac:dyDescent="0.3">
      <c r="A304" t="s">
        <v>344</v>
      </c>
      <c r="B304" t="s">
        <v>60</v>
      </c>
      <c r="C304" t="s">
        <v>46</v>
      </c>
      <c r="D304">
        <v>10</v>
      </c>
      <c r="E304">
        <v>50</v>
      </c>
      <c r="F304" s="1">
        <v>45452</v>
      </c>
      <c r="G304" t="s">
        <v>47</v>
      </c>
      <c r="H304" t="s">
        <v>25</v>
      </c>
    </row>
    <row r="305" spans="1:8" x14ac:dyDescent="0.3">
      <c r="A305" t="s">
        <v>345</v>
      </c>
      <c r="B305" t="s">
        <v>27</v>
      </c>
      <c r="C305" t="s">
        <v>35</v>
      </c>
      <c r="D305">
        <v>14</v>
      </c>
      <c r="E305">
        <v>200</v>
      </c>
      <c r="F305" s="1">
        <v>45260</v>
      </c>
      <c r="G305" t="s">
        <v>29</v>
      </c>
      <c r="H305" t="s">
        <v>36</v>
      </c>
    </row>
    <row r="306" spans="1:8" x14ac:dyDescent="0.3">
      <c r="A306" t="s">
        <v>346</v>
      </c>
      <c r="B306" t="s">
        <v>31</v>
      </c>
      <c r="C306" t="s">
        <v>35</v>
      </c>
      <c r="D306">
        <v>7</v>
      </c>
      <c r="E306">
        <v>50</v>
      </c>
      <c r="F306" s="1">
        <v>44928</v>
      </c>
      <c r="G306" t="s">
        <v>33</v>
      </c>
      <c r="H306" t="s">
        <v>40</v>
      </c>
    </row>
    <row r="307" spans="1:8" x14ac:dyDescent="0.3">
      <c r="A307" t="s">
        <v>347</v>
      </c>
      <c r="B307" t="s">
        <v>22</v>
      </c>
      <c r="C307" t="s">
        <v>35</v>
      </c>
      <c r="D307">
        <v>5</v>
      </c>
      <c r="E307">
        <v>75</v>
      </c>
      <c r="F307" s="1">
        <v>45301</v>
      </c>
      <c r="G307" t="s">
        <v>33</v>
      </c>
      <c r="H307" t="s">
        <v>36</v>
      </c>
    </row>
    <row r="308" spans="1:8" x14ac:dyDescent="0.3">
      <c r="A308" t="s">
        <v>348</v>
      </c>
      <c r="B308" t="s">
        <v>60</v>
      </c>
      <c r="C308" t="s">
        <v>28</v>
      </c>
      <c r="D308">
        <v>6</v>
      </c>
      <c r="E308">
        <v>50</v>
      </c>
      <c r="F308" s="1">
        <v>45219</v>
      </c>
      <c r="G308" t="s">
        <v>24</v>
      </c>
      <c r="H308" t="s">
        <v>43</v>
      </c>
    </row>
    <row r="309" spans="1:8" x14ac:dyDescent="0.3">
      <c r="A309" t="s">
        <v>349</v>
      </c>
      <c r="B309" t="s">
        <v>22</v>
      </c>
      <c r="C309" t="s">
        <v>42</v>
      </c>
      <c r="D309">
        <v>2</v>
      </c>
      <c r="E309">
        <v>50</v>
      </c>
      <c r="F309" s="1">
        <v>45244</v>
      </c>
      <c r="G309" t="s">
        <v>24</v>
      </c>
      <c r="H309" t="s">
        <v>36</v>
      </c>
    </row>
    <row r="310" spans="1:8" x14ac:dyDescent="0.3">
      <c r="A310" t="s">
        <v>350</v>
      </c>
      <c r="B310" t="s">
        <v>27</v>
      </c>
      <c r="C310" t="s">
        <v>28</v>
      </c>
      <c r="D310">
        <v>13</v>
      </c>
      <c r="E310">
        <v>150</v>
      </c>
      <c r="F310" s="1">
        <v>45428</v>
      </c>
      <c r="G310" t="s">
        <v>47</v>
      </c>
      <c r="H310" t="s">
        <v>43</v>
      </c>
    </row>
    <row r="311" spans="1:8" x14ac:dyDescent="0.3">
      <c r="A311" t="s">
        <v>351</v>
      </c>
      <c r="B311" t="s">
        <v>27</v>
      </c>
      <c r="C311" t="s">
        <v>42</v>
      </c>
      <c r="D311">
        <v>14</v>
      </c>
      <c r="E311">
        <v>100</v>
      </c>
      <c r="F311" s="1">
        <v>45307</v>
      </c>
      <c r="G311" t="s">
        <v>47</v>
      </c>
      <c r="H311" t="s">
        <v>36</v>
      </c>
    </row>
    <row r="312" spans="1:8" x14ac:dyDescent="0.3">
      <c r="A312" t="s">
        <v>352</v>
      </c>
      <c r="B312" t="s">
        <v>60</v>
      </c>
      <c r="C312" t="s">
        <v>28</v>
      </c>
      <c r="D312">
        <v>0</v>
      </c>
      <c r="E312">
        <v>200</v>
      </c>
      <c r="F312" s="1">
        <v>44940</v>
      </c>
      <c r="G312" t="s">
        <v>51</v>
      </c>
      <c r="H312" t="s">
        <v>25</v>
      </c>
    </row>
    <row r="313" spans="1:8" x14ac:dyDescent="0.3">
      <c r="A313" t="s">
        <v>353</v>
      </c>
      <c r="B313" t="s">
        <v>31</v>
      </c>
      <c r="C313" t="s">
        <v>28</v>
      </c>
      <c r="D313">
        <v>4</v>
      </c>
      <c r="E313">
        <v>50</v>
      </c>
      <c r="F313" s="1">
        <v>45430</v>
      </c>
      <c r="G313" t="s">
        <v>47</v>
      </c>
      <c r="H313" t="s">
        <v>40</v>
      </c>
    </row>
    <row r="314" spans="1:8" x14ac:dyDescent="0.3">
      <c r="A314" t="s">
        <v>354</v>
      </c>
      <c r="B314" t="s">
        <v>39</v>
      </c>
      <c r="C314" t="s">
        <v>32</v>
      </c>
      <c r="D314">
        <v>13</v>
      </c>
      <c r="E314">
        <v>200</v>
      </c>
      <c r="F314" s="1">
        <v>45157</v>
      </c>
      <c r="G314" t="s">
        <v>51</v>
      </c>
      <c r="H314" t="s">
        <v>43</v>
      </c>
    </row>
    <row r="315" spans="1:8" x14ac:dyDescent="0.3">
      <c r="A315" t="s">
        <v>355</v>
      </c>
      <c r="B315" t="s">
        <v>60</v>
      </c>
      <c r="C315" t="s">
        <v>23</v>
      </c>
      <c r="D315">
        <v>11</v>
      </c>
      <c r="E315">
        <v>50</v>
      </c>
      <c r="F315" s="1">
        <v>45010</v>
      </c>
      <c r="G315" t="s">
        <v>29</v>
      </c>
      <c r="H315" t="s">
        <v>36</v>
      </c>
    </row>
    <row r="316" spans="1:8" x14ac:dyDescent="0.3">
      <c r="A316" t="s">
        <v>356</v>
      </c>
      <c r="B316" t="s">
        <v>39</v>
      </c>
      <c r="C316" t="s">
        <v>28</v>
      </c>
      <c r="D316">
        <v>11</v>
      </c>
      <c r="E316">
        <v>75</v>
      </c>
      <c r="F316" s="1">
        <v>45056</v>
      </c>
      <c r="G316" t="s">
        <v>24</v>
      </c>
      <c r="H316" t="s">
        <v>36</v>
      </c>
    </row>
    <row r="317" spans="1:8" x14ac:dyDescent="0.3">
      <c r="A317" t="s">
        <v>357</v>
      </c>
      <c r="B317" t="s">
        <v>39</v>
      </c>
      <c r="C317" t="s">
        <v>32</v>
      </c>
      <c r="D317">
        <v>1</v>
      </c>
      <c r="E317">
        <v>50</v>
      </c>
      <c r="F317" s="1">
        <v>45071</v>
      </c>
      <c r="G317" t="s">
        <v>29</v>
      </c>
      <c r="H317" t="s">
        <v>36</v>
      </c>
    </row>
    <row r="318" spans="1:8" x14ac:dyDescent="0.3">
      <c r="A318" t="s">
        <v>358</v>
      </c>
      <c r="B318" t="s">
        <v>31</v>
      </c>
      <c r="C318" t="s">
        <v>57</v>
      </c>
      <c r="D318">
        <v>13</v>
      </c>
      <c r="E318">
        <v>150</v>
      </c>
      <c r="F318" s="1">
        <v>44954</v>
      </c>
      <c r="G318" t="s">
        <v>47</v>
      </c>
      <c r="H318" t="s">
        <v>25</v>
      </c>
    </row>
    <row r="319" spans="1:8" x14ac:dyDescent="0.3">
      <c r="A319" t="s">
        <v>359</v>
      </c>
      <c r="B319" t="s">
        <v>39</v>
      </c>
      <c r="C319" t="s">
        <v>23</v>
      </c>
      <c r="D319">
        <v>4</v>
      </c>
      <c r="E319">
        <v>100</v>
      </c>
      <c r="F319" s="1">
        <v>44992</v>
      </c>
      <c r="G319" t="s">
        <v>29</v>
      </c>
      <c r="H319" t="s">
        <v>25</v>
      </c>
    </row>
    <row r="320" spans="1:8" x14ac:dyDescent="0.3">
      <c r="A320" t="s">
        <v>360</v>
      </c>
      <c r="B320" t="s">
        <v>39</v>
      </c>
      <c r="C320" t="s">
        <v>28</v>
      </c>
      <c r="D320">
        <v>7</v>
      </c>
      <c r="E320">
        <v>75</v>
      </c>
      <c r="F320" s="1">
        <v>45089</v>
      </c>
      <c r="G320" t="s">
        <v>29</v>
      </c>
      <c r="H320" t="s">
        <v>43</v>
      </c>
    </row>
    <row r="321" spans="1:8" x14ac:dyDescent="0.3">
      <c r="A321" t="s">
        <v>361</v>
      </c>
      <c r="B321" t="s">
        <v>31</v>
      </c>
      <c r="C321" t="s">
        <v>46</v>
      </c>
      <c r="D321">
        <v>10</v>
      </c>
      <c r="E321">
        <v>50</v>
      </c>
      <c r="F321" s="1">
        <v>45155</v>
      </c>
      <c r="G321" t="s">
        <v>29</v>
      </c>
      <c r="H321" t="s">
        <v>43</v>
      </c>
    </row>
    <row r="322" spans="1:8" x14ac:dyDescent="0.3">
      <c r="A322" t="s">
        <v>362</v>
      </c>
      <c r="B322" t="s">
        <v>39</v>
      </c>
      <c r="C322" t="s">
        <v>35</v>
      </c>
      <c r="D322">
        <v>8</v>
      </c>
      <c r="E322">
        <v>200</v>
      </c>
      <c r="F322" s="1">
        <v>45187</v>
      </c>
      <c r="G322" t="s">
        <v>47</v>
      </c>
      <c r="H322" t="s">
        <v>25</v>
      </c>
    </row>
    <row r="323" spans="1:8" x14ac:dyDescent="0.3">
      <c r="A323" t="s">
        <v>363</v>
      </c>
      <c r="B323" t="s">
        <v>39</v>
      </c>
      <c r="C323" t="s">
        <v>57</v>
      </c>
      <c r="D323">
        <v>1</v>
      </c>
      <c r="E323">
        <v>75</v>
      </c>
      <c r="F323" s="1">
        <v>45375</v>
      </c>
      <c r="G323" t="s">
        <v>29</v>
      </c>
      <c r="H323" t="s">
        <v>43</v>
      </c>
    </row>
    <row r="324" spans="1:8" x14ac:dyDescent="0.3">
      <c r="A324" t="s">
        <v>364</v>
      </c>
      <c r="B324" t="s">
        <v>39</v>
      </c>
      <c r="C324" t="s">
        <v>57</v>
      </c>
      <c r="D324">
        <v>11</v>
      </c>
      <c r="E324">
        <v>75</v>
      </c>
      <c r="F324" s="1">
        <v>45350</v>
      </c>
      <c r="G324" t="s">
        <v>51</v>
      </c>
      <c r="H324" t="s">
        <v>40</v>
      </c>
    </row>
    <row r="325" spans="1:8" x14ac:dyDescent="0.3">
      <c r="A325" t="s">
        <v>365</v>
      </c>
      <c r="B325" t="s">
        <v>60</v>
      </c>
      <c r="C325" t="s">
        <v>32</v>
      </c>
      <c r="D325">
        <v>2</v>
      </c>
      <c r="E325">
        <v>50</v>
      </c>
      <c r="F325" s="1">
        <v>45386</v>
      </c>
      <c r="G325" t="s">
        <v>47</v>
      </c>
      <c r="H325" t="s">
        <v>40</v>
      </c>
    </row>
    <row r="326" spans="1:8" x14ac:dyDescent="0.3">
      <c r="A326" t="s">
        <v>366</v>
      </c>
      <c r="B326" t="s">
        <v>60</v>
      </c>
      <c r="C326" t="s">
        <v>57</v>
      </c>
      <c r="D326">
        <v>2</v>
      </c>
      <c r="E326">
        <v>75</v>
      </c>
      <c r="F326" s="1">
        <v>45227</v>
      </c>
      <c r="G326" t="s">
        <v>29</v>
      </c>
      <c r="H326" t="s">
        <v>25</v>
      </c>
    </row>
    <row r="327" spans="1:8" x14ac:dyDescent="0.3">
      <c r="A327" t="s">
        <v>367</v>
      </c>
      <c r="B327" t="s">
        <v>60</v>
      </c>
      <c r="C327" t="s">
        <v>23</v>
      </c>
      <c r="D327">
        <v>0</v>
      </c>
      <c r="E327">
        <v>200</v>
      </c>
      <c r="F327" s="1">
        <v>45229</v>
      </c>
      <c r="G327" t="s">
        <v>47</v>
      </c>
      <c r="H327" t="s">
        <v>43</v>
      </c>
    </row>
    <row r="328" spans="1:8" x14ac:dyDescent="0.3">
      <c r="A328" t="s">
        <v>368</v>
      </c>
      <c r="B328" t="s">
        <v>31</v>
      </c>
      <c r="C328" t="s">
        <v>28</v>
      </c>
      <c r="D328">
        <v>7</v>
      </c>
      <c r="E328">
        <v>75</v>
      </c>
      <c r="F328" s="1">
        <v>45213</v>
      </c>
      <c r="G328" t="s">
        <v>33</v>
      </c>
      <c r="H328" t="s">
        <v>36</v>
      </c>
    </row>
    <row r="329" spans="1:8" x14ac:dyDescent="0.3">
      <c r="A329" t="s">
        <v>369</v>
      </c>
      <c r="B329" t="s">
        <v>27</v>
      </c>
      <c r="C329" t="s">
        <v>28</v>
      </c>
      <c r="D329">
        <v>5</v>
      </c>
      <c r="E329">
        <v>200</v>
      </c>
      <c r="F329" s="1">
        <v>45321</v>
      </c>
      <c r="G329" t="s">
        <v>51</v>
      </c>
      <c r="H329" t="s">
        <v>40</v>
      </c>
    </row>
    <row r="330" spans="1:8" x14ac:dyDescent="0.3">
      <c r="A330" t="s">
        <v>370</v>
      </c>
      <c r="B330" t="s">
        <v>39</v>
      </c>
      <c r="C330" t="s">
        <v>46</v>
      </c>
      <c r="D330">
        <v>11</v>
      </c>
      <c r="E330">
        <v>50</v>
      </c>
      <c r="F330" s="1">
        <v>44936</v>
      </c>
      <c r="G330" t="s">
        <v>29</v>
      </c>
      <c r="H330" t="s">
        <v>25</v>
      </c>
    </row>
    <row r="331" spans="1:8" x14ac:dyDescent="0.3">
      <c r="A331" t="s">
        <v>371</v>
      </c>
      <c r="B331" t="s">
        <v>39</v>
      </c>
      <c r="C331" t="s">
        <v>35</v>
      </c>
      <c r="D331">
        <v>12</v>
      </c>
      <c r="E331">
        <v>100</v>
      </c>
      <c r="F331" s="1">
        <v>45196</v>
      </c>
      <c r="G331" t="s">
        <v>33</v>
      </c>
      <c r="H331" t="s">
        <v>43</v>
      </c>
    </row>
    <row r="332" spans="1:8" x14ac:dyDescent="0.3">
      <c r="A332" t="s">
        <v>372</v>
      </c>
      <c r="B332" t="s">
        <v>31</v>
      </c>
      <c r="C332" t="s">
        <v>32</v>
      </c>
      <c r="D332">
        <v>7</v>
      </c>
      <c r="E332">
        <v>75</v>
      </c>
      <c r="F332" s="1">
        <v>45287</v>
      </c>
      <c r="G332" t="s">
        <v>33</v>
      </c>
      <c r="H332" t="s">
        <v>25</v>
      </c>
    </row>
    <row r="333" spans="1:8" x14ac:dyDescent="0.3">
      <c r="A333" t="s">
        <v>373</v>
      </c>
      <c r="B333" t="s">
        <v>39</v>
      </c>
      <c r="C333" t="s">
        <v>35</v>
      </c>
      <c r="D333">
        <v>10</v>
      </c>
      <c r="E333">
        <v>100</v>
      </c>
      <c r="F333" s="1">
        <v>45183</v>
      </c>
      <c r="G333" t="s">
        <v>47</v>
      </c>
      <c r="H333" t="s">
        <v>36</v>
      </c>
    </row>
    <row r="334" spans="1:8" x14ac:dyDescent="0.3">
      <c r="A334" t="s">
        <v>374</v>
      </c>
      <c r="B334" t="s">
        <v>60</v>
      </c>
      <c r="C334" t="s">
        <v>57</v>
      </c>
      <c r="D334">
        <v>8</v>
      </c>
      <c r="E334">
        <v>200</v>
      </c>
      <c r="F334" s="1">
        <v>45059</v>
      </c>
      <c r="G334" t="s">
        <v>33</v>
      </c>
      <c r="H334" t="s">
        <v>40</v>
      </c>
    </row>
    <row r="335" spans="1:8" x14ac:dyDescent="0.3">
      <c r="A335" t="s">
        <v>375</v>
      </c>
      <c r="B335" t="s">
        <v>27</v>
      </c>
      <c r="C335" t="s">
        <v>46</v>
      </c>
      <c r="D335">
        <v>4</v>
      </c>
      <c r="E335">
        <v>75</v>
      </c>
      <c r="F335" s="1">
        <v>45202</v>
      </c>
      <c r="G335" t="s">
        <v>51</v>
      </c>
      <c r="H335" t="s">
        <v>25</v>
      </c>
    </row>
    <row r="336" spans="1:8" x14ac:dyDescent="0.3">
      <c r="A336" t="s">
        <v>376</v>
      </c>
      <c r="B336" t="s">
        <v>22</v>
      </c>
      <c r="C336" t="s">
        <v>35</v>
      </c>
      <c r="D336">
        <v>13</v>
      </c>
      <c r="E336">
        <v>150</v>
      </c>
      <c r="F336" s="1">
        <v>45439</v>
      </c>
      <c r="G336" t="s">
        <v>51</v>
      </c>
      <c r="H336" t="s">
        <v>25</v>
      </c>
    </row>
    <row r="337" spans="1:8" x14ac:dyDescent="0.3">
      <c r="A337" t="s">
        <v>377</v>
      </c>
      <c r="B337" t="s">
        <v>39</v>
      </c>
      <c r="C337" t="s">
        <v>23</v>
      </c>
      <c r="D337">
        <v>11</v>
      </c>
      <c r="E337">
        <v>100</v>
      </c>
      <c r="F337" s="1">
        <v>45239</v>
      </c>
      <c r="G337" t="s">
        <v>24</v>
      </c>
      <c r="H337" t="s">
        <v>25</v>
      </c>
    </row>
    <row r="338" spans="1:8" x14ac:dyDescent="0.3">
      <c r="A338" t="s">
        <v>378</v>
      </c>
      <c r="B338" t="s">
        <v>60</v>
      </c>
      <c r="C338" t="s">
        <v>28</v>
      </c>
      <c r="D338">
        <v>13</v>
      </c>
      <c r="E338">
        <v>75</v>
      </c>
      <c r="F338" s="1">
        <v>45210</v>
      </c>
      <c r="G338" t="s">
        <v>51</v>
      </c>
      <c r="H338" t="s">
        <v>36</v>
      </c>
    </row>
    <row r="339" spans="1:8" x14ac:dyDescent="0.3">
      <c r="A339" t="s">
        <v>379</v>
      </c>
      <c r="B339" t="s">
        <v>22</v>
      </c>
      <c r="C339" t="s">
        <v>57</v>
      </c>
      <c r="D339">
        <v>2</v>
      </c>
      <c r="E339">
        <v>100</v>
      </c>
      <c r="F339" s="1">
        <v>45047</v>
      </c>
      <c r="G339" t="s">
        <v>33</v>
      </c>
      <c r="H339" t="s">
        <v>25</v>
      </c>
    </row>
    <row r="340" spans="1:8" x14ac:dyDescent="0.3">
      <c r="A340" t="s">
        <v>380</v>
      </c>
      <c r="B340" t="s">
        <v>27</v>
      </c>
      <c r="C340" t="s">
        <v>46</v>
      </c>
      <c r="D340">
        <v>4</v>
      </c>
      <c r="E340">
        <v>75</v>
      </c>
      <c r="F340" s="1">
        <v>45033</v>
      </c>
      <c r="G340" t="s">
        <v>51</v>
      </c>
      <c r="H340" t="s">
        <v>36</v>
      </c>
    </row>
    <row r="341" spans="1:8" x14ac:dyDescent="0.3">
      <c r="A341" t="s">
        <v>381</v>
      </c>
      <c r="B341" t="s">
        <v>22</v>
      </c>
      <c r="C341" t="s">
        <v>35</v>
      </c>
      <c r="D341">
        <v>4</v>
      </c>
      <c r="E341">
        <v>50</v>
      </c>
      <c r="F341" s="1">
        <v>45130</v>
      </c>
      <c r="G341" t="s">
        <v>47</v>
      </c>
      <c r="H341" t="s">
        <v>36</v>
      </c>
    </row>
    <row r="342" spans="1:8" x14ac:dyDescent="0.3">
      <c r="A342" t="s">
        <v>382</v>
      </c>
      <c r="B342" t="s">
        <v>60</v>
      </c>
      <c r="C342" t="s">
        <v>32</v>
      </c>
      <c r="D342">
        <v>4</v>
      </c>
      <c r="E342">
        <v>100</v>
      </c>
      <c r="F342" s="1">
        <v>45091</v>
      </c>
      <c r="G342" t="s">
        <v>24</v>
      </c>
      <c r="H342" t="s">
        <v>36</v>
      </c>
    </row>
    <row r="343" spans="1:8" x14ac:dyDescent="0.3">
      <c r="A343" t="s">
        <v>383</v>
      </c>
      <c r="B343" t="s">
        <v>22</v>
      </c>
      <c r="C343" t="s">
        <v>23</v>
      </c>
      <c r="D343">
        <v>2</v>
      </c>
      <c r="E343">
        <v>150</v>
      </c>
      <c r="F343" s="1">
        <v>45231</v>
      </c>
      <c r="G343" t="s">
        <v>33</v>
      </c>
      <c r="H343" t="s">
        <v>40</v>
      </c>
    </row>
    <row r="344" spans="1:8" x14ac:dyDescent="0.3">
      <c r="A344" t="s">
        <v>384</v>
      </c>
      <c r="B344" t="s">
        <v>31</v>
      </c>
      <c r="C344" t="s">
        <v>23</v>
      </c>
      <c r="D344">
        <v>10</v>
      </c>
      <c r="E344">
        <v>150</v>
      </c>
      <c r="F344" s="1">
        <v>45423</v>
      </c>
      <c r="G344" t="s">
        <v>24</v>
      </c>
      <c r="H344" t="s">
        <v>40</v>
      </c>
    </row>
    <row r="345" spans="1:8" x14ac:dyDescent="0.3">
      <c r="A345" t="s">
        <v>385</v>
      </c>
      <c r="B345" t="s">
        <v>22</v>
      </c>
      <c r="C345" t="s">
        <v>35</v>
      </c>
      <c r="D345">
        <v>13</v>
      </c>
      <c r="E345">
        <v>200</v>
      </c>
      <c r="F345" s="1">
        <v>45082</v>
      </c>
      <c r="G345" t="s">
        <v>33</v>
      </c>
      <c r="H345" t="s">
        <v>25</v>
      </c>
    </row>
    <row r="346" spans="1:8" x14ac:dyDescent="0.3">
      <c r="A346" t="s">
        <v>386</v>
      </c>
      <c r="B346" t="s">
        <v>39</v>
      </c>
      <c r="C346" t="s">
        <v>28</v>
      </c>
      <c r="D346">
        <v>9</v>
      </c>
      <c r="E346">
        <v>75</v>
      </c>
      <c r="F346" s="1">
        <v>45293</v>
      </c>
      <c r="G346" t="s">
        <v>47</v>
      </c>
      <c r="H346" t="s">
        <v>25</v>
      </c>
    </row>
    <row r="347" spans="1:8" x14ac:dyDescent="0.3">
      <c r="A347" t="s">
        <v>387</v>
      </c>
      <c r="B347" t="s">
        <v>39</v>
      </c>
      <c r="C347" t="s">
        <v>35</v>
      </c>
      <c r="D347">
        <v>13</v>
      </c>
      <c r="E347">
        <v>100</v>
      </c>
      <c r="F347" s="1">
        <v>45177</v>
      </c>
      <c r="G347" t="s">
        <v>24</v>
      </c>
      <c r="H347" t="s">
        <v>40</v>
      </c>
    </row>
    <row r="348" spans="1:8" x14ac:dyDescent="0.3">
      <c r="A348" t="s">
        <v>388</v>
      </c>
      <c r="B348" t="s">
        <v>31</v>
      </c>
      <c r="C348" t="s">
        <v>57</v>
      </c>
      <c r="D348">
        <v>3</v>
      </c>
      <c r="E348">
        <v>200</v>
      </c>
      <c r="F348" s="1">
        <v>45260</v>
      </c>
      <c r="G348" t="s">
        <v>29</v>
      </c>
      <c r="H348" t="s">
        <v>43</v>
      </c>
    </row>
    <row r="349" spans="1:8" x14ac:dyDescent="0.3">
      <c r="A349" t="s">
        <v>389</v>
      </c>
      <c r="B349" t="s">
        <v>60</v>
      </c>
      <c r="C349" t="s">
        <v>35</v>
      </c>
      <c r="D349">
        <v>8</v>
      </c>
      <c r="E349">
        <v>100</v>
      </c>
      <c r="F349" s="1">
        <v>45437</v>
      </c>
      <c r="G349" t="s">
        <v>33</v>
      </c>
      <c r="H349" t="s">
        <v>40</v>
      </c>
    </row>
    <row r="350" spans="1:8" x14ac:dyDescent="0.3">
      <c r="A350" t="s">
        <v>390</v>
      </c>
      <c r="B350" t="s">
        <v>39</v>
      </c>
      <c r="C350" t="s">
        <v>23</v>
      </c>
      <c r="D350">
        <v>12</v>
      </c>
      <c r="E350">
        <v>75</v>
      </c>
      <c r="F350" s="1">
        <v>45219</v>
      </c>
      <c r="G350" t="s">
        <v>29</v>
      </c>
      <c r="H350" t="s">
        <v>36</v>
      </c>
    </row>
    <row r="351" spans="1:8" x14ac:dyDescent="0.3">
      <c r="A351" t="s">
        <v>391</v>
      </c>
      <c r="B351" t="s">
        <v>27</v>
      </c>
      <c r="C351" t="s">
        <v>46</v>
      </c>
      <c r="D351">
        <v>9</v>
      </c>
      <c r="E351">
        <v>150</v>
      </c>
      <c r="F351" s="1">
        <v>44946</v>
      </c>
      <c r="G351" t="s">
        <v>24</v>
      </c>
      <c r="H351" t="s">
        <v>40</v>
      </c>
    </row>
    <row r="352" spans="1:8" x14ac:dyDescent="0.3">
      <c r="A352" t="s">
        <v>392</v>
      </c>
      <c r="B352" t="s">
        <v>39</v>
      </c>
      <c r="C352" t="s">
        <v>35</v>
      </c>
      <c r="D352">
        <v>8</v>
      </c>
      <c r="E352">
        <v>50</v>
      </c>
      <c r="F352" s="1">
        <v>45208</v>
      </c>
      <c r="G352" t="s">
        <v>29</v>
      </c>
      <c r="H352" t="s">
        <v>36</v>
      </c>
    </row>
    <row r="353" spans="1:8" x14ac:dyDescent="0.3">
      <c r="A353" t="s">
        <v>393</v>
      </c>
      <c r="B353" t="s">
        <v>39</v>
      </c>
      <c r="C353" t="s">
        <v>28</v>
      </c>
      <c r="D353">
        <v>1</v>
      </c>
      <c r="E353">
        <v>150</v>
      </c>
      <c r="F353" s="1">
        <v>44927</v>
      </c>
      <c r="G353" t="s">
        <v>29</v>
      </c>
      <c r="H353" t="s">
        <v>25</v>
      </c>
    </row>
    <row r="354" spans="1:8" x14ac:dyDescent="0.3">
      <c r="A354" t="s">
        <v>394</v>
      </c>
      <c r="B354" t="s">
        <v>60</v>
      </c>
      <c r="C354" t="s">
        <v>46</v>
      </c>
      <c r="D354">
        <v>7</v>
      </c>
      <c r="E354">
        <v>200</v>
      </c>
      <c r="F354" s="1">
        <v>45045</v>
      </c>
      <c r="G354" t="s">
        <v>24</v>
      </c>
      <c r="H354" t="s">
        <v>43</v>
      </c>
    </row>
    <row r="355" spans="1:8" x14ac:dyDescent="0.3">
      <c r="A355" t="s">
        <v>395</v>
      </c>
      <c r="B355" t="s">
        <v>22</v>
      </c>
      <c r="C355" t="s">
        <v>32</v>
      </c>
      <c r="D355">
        <v>7</v>
      </c>
      <c r="E355">
        <v>50</v>
      </c>
      <c r="F355" s="1">
        <v>44961</v>
      </c>
      <c r="G355" t="s">
        <v>47</v>
      </c>
      <c r="H355" t="s">
        <v>25</v>
      </c>
    </row>
    <row r="356" spans="1:8" x14ac:dyDescent="0.3">
      <c r="A356" t="s">
        <v>396</v>
      </c>
      <c r="B356" t="s">
        <v>39</v>
      </c>
      <c r="C356" t="s">
        <v>42</v>
      </c>
      <c r="D356">
        <v>6</v>
      </c>
      <c r="E356">
        <v>200</v>
      </c>
      <c r="F356" s="1">
        <v>45124</v>
      </c>
      <c r="G356" t="s">
        <v>29</v>
      </c>
      <c r="H356" t="s">
        <v>36</v>
      </c>
    </row>
    <row r="357" spans="1:8" x14ac:dyDescent="0.3">
      <c r="A357" t="s">
        <v>397</v>
      </c>
      <c r="B357" t="s">
        <v>31</v>
      </c>
      <c r="C357" t="s">
        <v>35</v>
      </c>
      <c r="D357">
        <v>7</v>
      </c>
      <c r="E357">
        <v>75</v>
      </c>
      <c r="F357" s="1">
        <v>45411</v>
      </c>
      <c r="G357" t="s">
        <v>29</v>
      </c>
      <c r="H357" t="s">
        <v>36</v>
      </c>
    </row>
    <row r="358" spans="1:8" x14ac:dyDescent="0.3">
      <c r="A358" t="s">
        <v>398</v>
      </c>
      <c r="B358" t="s">
        <v>22</v>
      </c>
      <c r="C358" t="s">
        <v>28</v>
      </c>
      <c r="D358">
        <v>13</v>
      </c>
      <c r="E358">
        <v>50</v>
      </c>
      <c r="F358" s="1">
        <v>44985</v>
      </c>
      <c r="G358" t="s">
        <v>47</v>
      </c>
      <c r="H358" t="s">
        <v>36</v>
      </c>
    </row>
    <row r="359" spans="1:8" x14ac:dyDescent="0.3">
      <c r="A359" t="s">
        <v>399</v>
      </c>
      <c r="B359" t="s">
        <v>27</v>
      </c>
      <c r="C359" t="s">
        <v>46</v>
      </c>
      <c r="D359">
        <v>2</v>
      </c>
      <c r="E359">
        <v>200</v>
      </c>
      <c r="F359" s="1">
        <v>45087</v>
      </c>
      <c r="G359" t="s">
        <v>29</v>
      </c>
      <c r="H359" t="s">
        <v>43</v>
      </c>
    </row>
    <row r="360" spans="1:8" x14ac:dyDescent="0.3">
      <c r="A360" t="s">
        <v>400</v>
      </c>
      <c r="B360" t="s">
        <v>60</v>
      </c>
      <c r="C360" t="s">
        <v>28</v>
      </c>
      <c r="D360">
        <v>12</v>
      </c>
      <c r="E360">
        <v>75</v>
      </c>
      <c r="F360" s="1">
        <v>45132</v>
      </c>
      <c r="G360" t="s">
        <v>29</v>
      </c>
      <c r="H360" t="s">
        <v>40</v>
      </c>
    </row>
    <row r="361" spans="1:8" x14ac:dyDescent="0.3">
      <c r="A361" t="s">
        <v>401</v>
      </c>
      <c r="B361" t="s">
        <v>27</v>
      </c>
      <c r="C361" t="s">
        <v>32</v>
      </c>
      <c r="D361">
        <v>5</v>
      </c>
      <c r="E361">
        <v>150</v>
      </c>
      <c r="F361" s="1">
        <v>44938</v>
      </c>
      <c r="G361" t="s">
        <v>29</v>
      </c>
      <c r="H361" t="s">
        <v>25</v>
      </c>
    </row>
    <row r="362" spans="1:8" x14ac:dyDescent="0.3">
      <c r="A362" t="s">
        <v>402</v>
      </c>
      <c r="B362" t="s">
        <v>22</v>
      </c>
      <c r="C362" t="s">
        <v>23</v>
      </c>
      <c r="D362">
        <v>0</v>
      </c>
      <c r="E362">
        <v>75</v>
      </c>
      <c r="F362" s="1">
        <v>45416</v>
      </c>
      <c r="G362" t="s">
        <v>51</v>
      </c>
      <c r="H362" t="s">
        <v>25</v>
      </c>
    </row>
    <row r="363" spans="1:8" x14ac:dyDescent="0.3">
      <c r="A363" t="s">
        <v>403</v>
      </c>
      <c r="B363" t="s">
        <v>22</v>
      </c>
      <c r="C363" t="s">
        <v>28</v>
      </c>
      <c r="D363">
        <v>6</v>
      </c>
      <c r="E363">
        <v>100</v>
      </c>
      <c r="F363" s="1">
        <v>45202</v>
      </c>
      <c r="G363" t="s">
        <v>47</v>
      </c>
      <c r="H363" t="s">
        <v>40</v>
      </c>
    </row>
    <row r="364" spans="1:8" x14ac:dyDescent="0.3">
      <c r="A364" t="s">
        <v>404</v>
      </c>
      <c r="B364" t="s">
        <v>22</v>
      </c>
      <c r="C364" t="s">
        <v>46</v>
      </c>
      <c r="D364">
        <v>14</v>
      </c>
      <c r="E364">
        <v>75</v>
      </c>
      <c r="F364" s="1">
        <v>45168</v>
      </c>
      <c r="G364" t="s">
        <v>29</v>
      </c>
      <c r="H364" t="s">
        <v>25</v>
      </c>
    </row>
    <row r="365" spans="1:8" x14ac:dyDescent="0.3">
      <c r="A365" t="s">
        <v>405</v>
      </c>
      <c r="B365" t="s">
        <v>27</v>
      </c>
      <c r="C365" t="s">
        <v>28</v>
      </c>
      <c r="D365">
        <v>14</v>
      </c>
      <c r="E365">
        <v>75</v>
      </c>
      <c r="F365" s="1">
        <v>45142</v>
      </c>
      <c r="G365" t="s">
        <v>47</v>
      </c>
      <c r="H365" t="s">
        <v>43</v>
      </c>
    </row>
    <row r="366" spans="1:8" x14ac:dyDescent="0.3">
      <c r="A366" t="s">
        <v>406</v>
      </c>
      <c r="B366" t="s">
        <v>22</v>
      </c>
      <c r="C366" t="s">
        <v>28</v>
      </c>
      <c r="D366">
        <v>0</v>
      </c>
      <c r="E366">
        <v>100</v>
      </c>
      <c r="F366" s="1">
        <v>45177</v>
      </c>
      <c r="G366" t="s">
        <v>33</v>
      </c>
      <c r="H366" t="s">
        <v>25</v>
      </c>
    </row>
    <row r="367" spans="1:8" x14ac:dyDescent="0.3">
      <c r="A367" t="s">
        <v>407</v>
      </c>
      <c r="B367" t="s">
        <v>27</v>
      </c>
      <c r="C367" t="s">
        <v>28</v>
      </c>
      <c r="D367">
        <v>8</v>
      </c>
      <c r="E367">
        <v>200</v>
      </c>
      <c r="F367" s="1">
        <v>45052</v>
      </c>
      <c r="G367" t="s">
        <v>33</v>
      </c>
      <c r="H367" t="s">
        <v>36</v>
      </c>
    </row>
    <row r="368" spans="1:8" x14ac:dyDescent="0.3">
      <c r="A368" t="s">
        <v>408</v>
      </c>
      <c r="B368" t="s">
        <v>22</v>
      </c>
      <c r="C368" t="s">
        <v>57</v>
      </c>
      <c r="D368">
        <v>0</v>
      </c>
      <c r="E368">
        <v>200</v>
      </c>
      <c r="F368" s="1">
        <v>45143</v>
      </c>
      <c r="G368" t="s">
        <v>29</v>
      </c>
      <c r="H368" t="s">
        <v>40</v>
      </c>
    </row>
    <row r="369" spans="1:8" x14ac:dyDescent="0.3">
      <c r="A369" t="s">
        <v>409</v>
      </c>
      <c r="B369" t="s">
        <v>31</v>
      </c>
      <c r="C369" t="s">
        <v>57</v>
      </c>
      <c r="D369">
        <v>0</v>
      </c>
      <c r="E369">
        <v>75</v>
      </c>
      <c r="F369" s="1">
        <v>45232</v>
      </c>
      <c r="G369" t="s">
        <v>47</v>
      </c>
      <c r="H369" t="s">
        <v>43</v>
      </c>
    </row>
    <row r="370" spans="1:8" x14ac:dyDescent="0.3">
      <c r="A370" t="s">
        <v>410</v>
      </c>
      <c r="B370" t="s">
        <v>22</v>
      </c>
      <c r="C370" t="s">
        <v>23</v>
      </c>
      <c r="D370">
        <v>14</v>
      </c>
      <c r="E370">
        <v>100</v>
      </c>
      <c r="F370" s="1">
        <v>45111</v>
      </c>
      <c r="G370" t="s">
        <v>47</v>
      </c>
      <c r="H370" t="s">
        <v>40</v>
      </c>
    </row>
    <row r="371" spans="1:8" x14ac:dyDescent="0.3">
      <c r="A371" t="s">
        <v>411</v>
      </c>
      <c r="B371" t="s">
        <v>27</v>
      </c>
      <c r="C371" t="s">
        <v>35</v>
      </c>
      <c r="D371">
        <v>6</v>
      </c>
      <c r="E371">
        <v>100</v>
      </c>
      <c r="F371" s="1">
        <v>44965</v>
      </c>
      <c r="G371" t="s">
        <v>47</v>
      </c>
      <c r="H371" t="s">
        <v>43</v>
      </c>
    </row>
    <row r="372" spans="1:8" x14ac:dyDescent="0.3">
      <c r="A372" t="s">
        <v>412</v>
      </c>
      <c r="B372" t="s">
        <v>39</v>
      </c>
      <c r="C372" t="s">
        <v>28</v>
      </c>
      <c r="D372">
        <v>1</v>
      </c>
      <c r="E372">
        <v>150</v>
      </c>
      <c r="F372" s="1">
        <v>45149</v>
      </c>
      <c r="G372" t="s">
        <v>51</v>
      </c>
      <c r="H372" t="s">
        <v>36</v>
      </c>
    </row>
    <row r="373" spans="1:8" x14ac:dyDescent="0.3">
      <c r="A373" t="s">
        <v>413</v>
      </c>
      <c r="B373" t="s">
        <v>22</v>
      </c>
      <c r="C373" t="s">
        <v>32</v>
      </c>
      <c r="D373">
        <v>13</v>
      </c>
      <c r="E373">
        <v>200</v>
      </c>
      <c r="F373" s="1">
        <v>45110</v>
      </c>
      <c r="G373" t="s">
        <v>33</v>
      </c>
      <c r="H373" t="s">
        <v>40</v>
      </c>
    </row>
    <row r="374" spans="1:8" x14ac:dyDescent="0.3">
      <c r="A374" t="s">
        <v>414</v>
      </c>
      <c r="B374" t="s">
        <v>39</v>
      </c>
      <c r="C374" t="s">
        <v>35</v>
      </c>
      <c r="D374">
        <v>4</v>
      </c>
      <c r="E374">
        <v>50</v>
      </c>
      <c r="F374" s="1">
        <v>45421</v>
      </c>
      <c r="G374" t="s">
        <v>47</v>
      </c>
      <c r="H374" t="s">
        <v>25</v>
      </c>
    </row>
    <row r="375" spans="1:8" x14ac:dyDescent="0.3">
      <c r="A375" t="s">
        <v>415</v>
      </c>
      <c r="B375" t="s">
        <v>31</v>
      </c>
      <c r="C375" t="s">
        <v>32</v>
      </c>
      <c r="D375">
        <v>7</v>
      </c>
      <c r="E375">
        <v>200</v>
      </c>
      <c r="F375" s="1">
        <v>45353</v>
      </c>
      <c r="G375" t="s">
        <v>47</v>
      </c>
      <c r="H375" t="s">
        <v>43</v>
      </c>
    </row>
    <row r="376" spans="1:8" x14ac:dyDescent="0.3">
      <c r="A376" t="s">
        <v>416</v>
      </c>
      <c r="B376" t="s">
        <v>60</v>
      </c>
      <c r="C376" t="s">
        <v>35</v>
      </c>
      <c r="D376">
        <v>7</v>
      </c>
      <c r="E376">
        <v>200</v>
      </c>
      <c r="F376" s="1">
        <v>45104</v>
      </c>
      <c r="G376" t="s">
        <v>51</v>
      </c>
      <c r="H376" t="s">
        <v>40</v>
      </c>
    </row>
    <row r="377" spans="1:8" x14ac:dyDescent="0.3">
      <c r="A377" t="s">
        <v>417</v>
      </c>
      <c r="B377" t="s">
        <v>31</v>
      </c>
      <c r="C377" t="s">
        <v>23</v>
      </c>
      <c r="D377">
        <v>2</v>
      </c>
      <c r="E377">
        <v>150</v>
      </c>
      <c r="F377" s="1">
        <v>45354</v>
      </c>
      <c r="G377" t="s">
        <v>51</v>
      </c>
      <c r="H377" t="s">
        <v>25</v>
      </c>
    </row>
    <row r="378" spans="1:8" x14ac:dyDescent="0.3">
      <c r="A378" t="s">
        <v>418</v>
      </c>
      <c r="B378" t="s">
        <v>22</v>
      </c>
      <c r="C378" t="s">
        <v>28</v>
      </c>
      <c r="D378">
        <v>6</v>
      </c>
      <c r="E378">
        <v>50</v>
      </c>
      <c r="F378" s="1">
        <v>45220</v>
      </c>
      <c r="G378" t="s">
        <v>47</v>
      </c>
      <c r="H378" t="s">
        <v>40</v>
      </c>
    </row>
    <row r="379" spans="1:8" x14ac:dyDescent="0.3">
      <c r="A379" t="s">
        <v>419</v>
      </c>
      <c r="B379" t="s">
        <v>39</v>
      </c>
      <c r="C379" t="s">
        <v>28</v>
      </c>
      <c r="D379">
        <v>2</v>
      </c>
      <c r="E379">
        <v>150</v>
      </c>
      <c r="F379" s="1">
        <v>45077</v>
      </c>
      <c r="G379" t="s">
        <v>24</v>
      </c>
      <c r="H379" t="s">
        <v>40</v>
      </c>
    </row>
    <row r="380" spans="1:8" x14ac:dyDescent="0.3">
      <c r="A380" t="s">
        <v>420</v>
      </c>
      <c r="B380" t="s">
        <v>39</v>
      </c>
      <c r="C380" t="s">
        <v>42</v>
      </c>
      <c r="D380">
        <v>5</v>
      </c>
      <c r="E380">
        <v>50</v>
      </c>
      <c r="F380" s="1">
        <v>45310</v>
      </c>
      <c r="G380" t="s">
        <v>47</v>
      </c>
      <c r="H380" t="s">
        <v>40</v>
      </c>
    </row>
    <row r="381" spans="1:8" x14ac:dyDescent="0.3">
      <c r="A381" t="s">
        <v>421</v>
      </c>
      <c r="B381" t="s">
        <v>27</v>
      </c>
      <c r="C381" t="s">
        <v>32</v>
      </c>
      <c r="D381">
        <v>5</v>
      </c>
      <c r="E381">
        <v>75</v>
      </c>
      <c r="F381" s="1">
        <v>45234</v>
      </c>
      <c r="G381" t="s">
        <v>47</v>
      </c>
      <c r="H381" t="s">
        <v>43</v>
      </c>
    </row>
    <row r="382" spans="1:8" x14ac:dyDescent="0.3">
      <c r="A382" t="s">
        <v>422</v>
      </c>
      <c r="B382" t="s">
        <v>39</v>
      </c>
      <c r="C382" t="s">
        <v>35</v>
      </c>
      <c r="D382">
        <v>2</v>
      </c>
      <c r="E382">
        <v>50</v>
      </c>
      <c r="F382" s="1">
        <v>45262</v>
      </c>
      <c r="G382" t="s">
        <v>51</v>
      </c>
      <c r="H382" t="s">
        <v>25</v>
      </c>
    </row>
    <row r="383" spans="1:8" x14ac:dyDescent="0.3">
      <c r="A383" t="s">
        <v>423</v>
      </c>
      <c r="B383" t="s">
        <v>27</v>
      </c>
      <c r="C383" t="s">
        <v>35</v>
      </c>
      <c r="D383">
        <v>6</v>
      </c>
      <c r="E383">
        <v>150</v>
      </c>
      <c r="F383" s="1">
        <v>45301</v>
      </c>
      <c r="G383" t="s">
        <v>51</v>
      </c>
      <c r="H383" t="s">
        <v>36</v>
      </c>
    </row>
    <row r="384" spans="1:8" x14ac:dyDescent="0.3">
      <c r="A384" t="s">
        <v>424</v>
      </c>
      <c r="B384" t="s">
        <v>60</v>
      </c>
      <c r="C384" t="s">
        <v>57</v>
      </c>
      <c r="D384">
        <v>2</v>
      </c>
      <c r="E384">
        <v>200</v>
      </c>
      <c r="F384" s="1">
        <v>44934</v>
      </c>
      <c r="G384" t="s">
        <v>47</v>
      </c>
      <c r="H384" t="s">
        <v>43</v>
      </c>
    </row>
    <row r="385" spans="1:8" x14ac:dyDescent="0.3">
      <c r="A385" t="s">
        <v>425</v>
      </c>
      <c r="B385" t="s">
        <v>22</v>
      </c>
      <c r="C385" t="s">
        <v>42</v>
      </c>
      <c r="D385">
        <v>7</v>
      </c>
      <c r="E385">
        <v>50</v>
      </c>
      <c r="F385" s="1">
        <v>45267</v>
      </c>
      <c r="G385" t="s">
        <v>47</v>
      </c>
      <c r="H385" t="s">
        <v>43</v>
      </c>
    </row>
    <row r="386" spans="1:8" x14ac:dyDescent="0.3">
      <c r="A386" t="s">
        <v>426</v>
      </c>
      <c r="B386" t="s">
        <v>27</v>
      </c>
      <c r="C386" t="s">
        <v>46</v>
      </c>
      <c r="D386">
        <v>9</v>
      </c>
      <c r="E386">
        <v>50</v>
      </c>
      <c r="F386" s="1">
        <v>45055</v>
      </c>
      <c r="G386" t="s">
        <v>47</v>
      </c>
      <c r="H386" t="s">
        <v>43</v>
      </c>
    </row>
    <row r="387" spans="1:8" x14ac:dyDescent="0.3">
      <c r="A387" t="s">
        <v>427</v>
      </c>
      <c r="B387" t="s">
        <v>60</v>
      </c>
      <c r="C387" t="s">
        <v>46</v>
      </c>
      <c r="D387">
        <v>3</v>
      </c>
      <c r="E387">
        <v>100</v>
      </c>
      <c r="F387" s="1">
        <v>45278</v>
      </c>
      <c r="G387" t="s">
        <v>51</v>
      </c>
      <c r="H387" t="s">
        <v>36</v>
      </c>
    </row>
    <row r="388" spans="1:8" x14ac:dyDescent="0.3">
      <c r="A388" t="s">
        <v>428</v>
      </c>
      <c r="B388" t="s">
        <v>39</v>
      </c>
      <c r="C388" t="s">
        <v>57</v>
      </c>
      <c r="D388">
        <v>14</v>
      </c>
      <c r="E388">
        <v>200</v>
      </c>
      <c r="F388" s="1">
        <v>45284</v>
      </c>
      <c r="G388" t="s">
        <v>47</v>
      </c>
      <c r="H388" t="s">
        <v>25</v>
      </c>
    </row>
    <row r="389" spans="1:8" x14ac:dyDescent="0.3">
      <c r="A389" t="s">
        <v>429</v>
      </c>
      <c r="B389" t="s">
        <v>39</v>
      </c>
      <c r="C389" t="s">
        <v>57</v>
      </c>
      <c r="D389">
        <v>14</v>
      </c>
      <c r="E389">
        <v>75</v>
      </c>
      <c r="F389" s="1">
        <v>45443</v>
      </c>
      <c r="G389" t="s">
        <v>47</v>
      </c>
      <c r="H389" t="s">
        <v>25</v>
      </c>
    </row>
    <row r="390" spans="1:8" x14ac:dyDescent="0.3">
      <c r="A390" t="s">
        <v>430</v>
      </c>
      <c r="B390" t="s">
        <v>60</v>
      </c>
      <c r="C390" t="s">
        <v>57</v>
      </c>
      <c r="D390">
        <v>12</v>
      </c>
      <c r="E390">
        <v>150</v>
      </c>
      <c r="F390" s="1">
        <v>45421</v>
      </c>
      <c r="G390" t="s">
        <v>29</v>
      </c>
      <c r="H390" t="s">
        <v>25</v>
      </c>
    </row>
    <row r="391" spans="1:8" x14ac:dyDescent="0.3">
      <c r="A391" t="s">
        <v>431</v>
      </c>
      <c r="B391" t="s">
        <v>39</v>
      </c>
      <c r="C391" t="s">
        <v>32</v>
      </c>
      <c r="D391">
        <v>0</v>
      </c>
      <c r="E391">
        <v>75</v>
      </c>
      <c r="F391" s="1">
        <v>45012</v>
      </c>
      <c r="G391" t="s">
        <v>24</v>
      </c>
      <c r="H391" t="s">
        <v>40</v>
      </c>
    </row>
    <row r="392" spans="1:8" x14ac:dyDescent="0.3">
      <c r="A392" t="s">
        <v>432</v>
      </c>
      <c r="B392" t="s">
        <v>60</v>
      </c>
      <c r="C392" t="s">
        <v>32</v>
      </c>
      <c r="D392">
        <v>3</v>
      </c>
      <c r="E392">
        <v>200</v>
      </c>
      <c r="F392" s="1">
        <v>45101</v>
      </c>
      <c r="G392" t="s">
        <v>33</v>
      </c>
      <c r="H392" t="s">
        <v>40</v>
      </c>
    </row>
    <row r="393" spans="1:8" x14ac:dyDescent="0.3">
      <c r="A393" t="s">
        <v>433</v>
      </c>
      <c r="B393" t="s">
        <v>27</v>
      </c>
      <c r="C393" t="s">
        <v>23</v>
      </c>
      <c r="D393">
        <v>13</v>
      </c>
      <c r="E393">
        <v>50</v>
      </c>
      <c r="F393" s="1">
        <v>45119</v>
      </c>
      <c r="G393" t="s">
        <v>24</v>
      </c>
      <c r="H393" t="s">
        <v>40</v>
      </c>
    </row>
    <row r="394" spans="1:8" x14ac:dyDescent="0.3">
      <c r="A394" t="s">
        <v>434</v>
      </c>
      <c r="B394" t="s">
        <v>27</v>
      </c>
      <c r="C394" t="s">
        <v>23</v>
      </c>
      <c r="D394">
        <v>6</v>
      </c>
      <c r="E394">
        <v>50</v>
      </c>
      <c r="F394" s="1">
        <v>45237</v>
      </c>
      <c r="G394" t="s">
        <v>29</v>
      </c>
      <c r="H394" t="s">
        <v>36</v>
      </c>
    </row>
    <row r="395" spans="1:8" x14ac:dyDescent="0.3">
      <c r="A395" t="s">
        <v>435</v>
      </c>
      <c r="B395" t="s">
        <v>60</v>
      </c>
      <c r="C395" t="s">
        <v>57</v>
      </c>
      <c r="D395">
        <v>10</v>
      </c>
      <c r="E395">
        <v>200</v>
      </c>
      <c r="F395" s="1">
        <v>45045</v>
      </c>
      <c r="G395" t="s">
        <v>33</v>
      </c>
      <c r="H395" t="s">
        <v>40</v>
      </c>
    </row>
    <row r="396" spans="1:8" x14ac:dyDescent="0.3">
      <c r="A396" t="s">
        <v>436</v>
      </c>
      <c r="B396" t="s">
        <v>27</v>
      </c>
      <c r="C396" t="s">
        <v>42</v>
      </c>
      <c r="D396">
        <v>3</v>
      </c>
      <c r="E396">
        <v>50</v>
      </c>
      <c r="F396" s="1">
        <v>45144</v>
      </c>
      <c r="G396" t="s">
        <v>47</v>
      </c>
      <c r="H396" t="s">
        <v>36</v>
      </c>
    </row>
    <row r="397" spans="1:8" x14ac:dyDescent="0.3">
      <c r="A397" t="s">
        <v>437</v>
      </c>
      <c r="B397" t="s">
        <v>27</v>
      </c>
      <c r="C397" t="s">
        <v>35</v>
      </c>
      <c r="D397">
        <v>12</v>
      </c>
      <c r="E397">
        <v>50</v>
      </c>
      <c r="F397" s="1">
        <v>45353</v>
      </c>
      <c r="G397" t="s">
        <v>29</v>
      </c>
      <c r="H397" t="s">
        <v>25</v>
      </c>
    </row>
    <row r="398" spans="1:8" x14ac:dyDescent="0.3">
      <c r="A398" t="s">
        <v>438</v>
      </c>
      <c r="B398" t="s">
        <v>27</v>
      </c>
      <c r="C398" t="s">
        <v>32</v>
      </c>
      <c r="D398">
        <v>5</v>
      </c>
      <c r="E398">
        <v>50</v>
      </c>
      <c r="F398" s="1">
        <v>45340</v>
      </c>
      <c r="G398" t="s">
        <v>47</v>
      </c>
      <c r="H398" t="s">
        <v>40</v>
      </c>
    </row>
    <row r="399" spans="1:8" x14ac:dyDescent="0.3">
      <c r="A399" t="s">
        <v>439</v>
      </c>
      <c r="B399" t="s">
        <v>31</v>
      </c>
      <c r="C399" t="s">
        <v>42</v>
      </c>
      <c r="D399">
        <v>8</v>
      </c>
      <c r="E399">
        <v>150</v>
      </c>
      <c r="F399" s="1">
        <v>45040</v>
      </c>
      <c r="G399" t="s">
        <v>51</v>
      </c>
      <c r="H399" t="s">
        <v>40</v>
      </c>
    </row>
    <row r="400" spans="1:8" x14ac:dyDescent="0.3">
      <c r="A400" t="s">
        <v>440</v>
      </c>
      <c r="B400" t="s">
        <v>22</v>
      </c>
      <c r="C400" t="s">
        <v>28</v>
      </c>
      <c r="D400">
        <v>0</v>
      </c>
      <c r="E400">
        <v>150</v>
      </c>
      <c r="F400" s="1">
        <v>45071</v>
      </c>
      <c r="G400" t="s">
        <v>29</v>
      </c>
      <c r="H400" t="s">
        <v>43</v>
      </c>
    </row>
    <row r="401" spans="1:8" x14ac:dyDescent="0.3">
      <c r="A401" t="s">
        <v>441</v>
      </c>
      <c r="B401" t="s">
        <v>39</v>
      </c>
      <c r="C401" t="s">
        <v>32</v>
      </c>
      <c r="D401">
        <v>12</v>
      </c>
      <c r="E401">
        <v>100</v>
      </c>
      <c r="F401" s="1">
        <v>45464</v>
      </c>
      <c r="G401" t="s">
        <v>51</v>
      </c>
      <c r="H401" t="s">
        <v>36</v>
      </c>
    </row>
  </sheetData>
  <mergeCells count="1">
    <mergeCell ref="J1:N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0C00-4E27-4994-95D5-C9783F37DAC9}">
  <dimension ref="A1:V401"/>
  <sheetViews>
    <sheetView workbookViewId="0">
      <selection activeCell="K20" sqref="K20"/>
    </sheetView>
  </sheetViews>
  <sheetFormatPr defaultRowHeight="14.4" x14ac:dyDescent="0.3"/>
  <cols>
    <col min="1" max="1" width="6.109375" bestFit="1" customWidth="1"/>
    <col min="2" max="2" width="9.44140625" bestFit="1" customWidth="1"/>
    <col min="3" max="3" width="10.6640625" bestFit="1" customWidth="1"/>
    <col min="4" max="4" width="14.33203125" customWidth="1"/>
    <col min="5" max="5" width="11.33203125" customWidth="1"/>
    <col min="6" max="6" width="6" bestFit="1" customWidth="1"/>
    <col min="7" max="7" width="9.6640625" bestFit="1" customWidth="1"/>
    <col min="8" max="8" width="13.5546875" bestFit="1" customWidth="1"/>
    <col min="9" max="9" width="9.6640625" bestFit="1" customWidth="1"/>
    <col min="10" max="10" width="20.5546875" customWidth="1"/>
    <col min="11" max="11" width="12" customWidth="1"/>
    <col min="12" max="12" width="6.109375" bestFit="1" customWidth="1"/>
    <col min="13" max="13" width="6.21875" bestFit="1" customWidth="1"/>
    <col min="14" max="14" width="8.6640625" bestFit="1" customWidth="1"/>
    <col min="15" max="15" width="3" bestFit="1" customWidth="1"/>
    <col min="16" max="16" width="4" bestFit="1" customWidth="1"/>
    <col min="17" max="17" width="6" bestFit="1" customWidth="1"/>
    <col min="18" max="18" width="7.6640625" bestFit="1" customWidth="1"/>
    <col min="19" max="19" width="10.109375" bestFit="1" customWidth="1"/>
    <col min="21" max="21" width="15.77734375" customWidth="1"/>
    <col min="22" max="22" width="13.44140625" customWidth="1"/>
  </cols>
  <sheetData>
    <row r="1" spans="1:22" x14ac:dyDescent="0.3">
      <c r="A1" s="6" t="s">
        <v>443</v>
      </c>
      <c r="C1" s="7" t="s">
        <v>444</v>
      </c>
      <c r="D1" s="4"/>
      <c r="E1" s="4"/>
      <c r="F1" s="4"/>
      <c r="G1" s="4"/>
      <c r="H1" s="4"/>
      <c r="I1" s="4"/>
      <c r="J1" s="4"/>
      <c r="L1" s="7" t="s">
        <v>445</v>
      </c>
      <c r="M1" s="4"/>
      <c r="N1" s="4"/>
      <c r="O1" s="4"/>
      <c r="P1" s="4"/>
      <c r="Q1" s="4"/>
      <c r="R1" s="4"/>
      <c r="S1" s="4"/>
      <c r="U1" s="7" t="s">
        <v>446</v>
      </c>
      <c r="V1" s="7"/>
    </row>
    <row r="2" spans="1:22" x14ac:dyDescent="0.3">
      <c r="A2" t="str" cm="1">
        <f t="array" ref="A2:A6">_xlfn.UNIQUE(Table1[Animal Type])</f>
        <v>Bird</v>
      </c>
      <c r="C2" t="str" cm="1">
        <f t="array" ref="C2:J11">INDEX(_xlfn._xlws.SORT(Table1[], MATCH("Adoption Fee",Table1[#Headers],0),-1), _xlfn.SEQUENCE(10), _xlfn.SEQUENCE(1,COLUMNS(Table1[])))</f>
        <v>A0001</v>
      </c>
      <c r="D2" t="str">
        <v>Bird</v>
      </c>
      <c r="E2" t="str">
        <v>Holland Lop</v>
      </c>
      <c r="F2">
        <v>13</v>
      </c>
      <c r="G2">
        <v>200</v>
      </c>
      <c r="H2">
        <v>44987</v>
      </c>
      <c r="I2" t="str">
        <v>Toronto</v>
      </c>
      <c r="J2" t="str">
        <v>Online Transfer</v>
      </c>
      <c r="L2" t="str" cm="1">
        <f t="array" ref="L2:S15">_xlfn._xlws.FILTER(Table1[], (Table1[City]="Toronto") * (Table1[Payment Method]="Credit Card"))</f>
        <v>A0007</v>
      </c>
      <c r="M2" t="str">
        <v>Rabbit</v>
      </c>
      <c r="N2" t="str">
        <v>Cockatiel</v>
      </c>
      <c r="O2">
        <v>6</v>
      </c>
      <c r="P2">
        <v>200</v>
      </c>
      <c r="Q2">
        <v>44937</v>
      </c>
      <c r="R2" t="str">
        <v>Toronto</v>
      </c>
      <c r="S2" t="str">
        <v>Credit Card</v>
      </c>
      <c r="U2" t="str" cm="1">
        <f t="array" ref="U2:V401">CHOOSE({1,2}, Table1[Animal Type], Table1[Adoption Fee])</f>
        <v>Bird</v>
      </c>
      <c r="V2">
        <v>200</v>
      </c>
    </row>
    <row r="3" spans="1:22" x14ac:dyDescent="0.3">
      <c r="A3" t="str">
        <v>Guinea Pig</v>
      </c>
      <c r="C3" t="str">
        <v>A0007</v>
      </c>
      <c r="D3" t="str">
        <v>Rabbit</v>
      </c>
      <c r="E3" t="str">
        <v>Cockatiel</v>
      </c>
      <c r="F3">
        <v>6</v>
      </c>
      <c r="G3">
        <v>200</v>
      </c>
      <c r="H3">
        <v>44937</v>
      </c>
      <c r="I3" t="str">
        <v>Toronto</v>
      </c>
      <c r="J3" t="str">
        <v>Credit Card</v>
      </c>
      <c r="L3" t="str">
        <v>A0016</v>
      </c>
      <c r="M3" t="str">
        <v>Cat</v>
      </c>
      <c r="N3" t="str">
        <v>Cockatiel</v>
      </c>
      <c r="O3">
        <v>5</v>
      </c>
      <c r="P3">
        <v>200</v>
      </c>
      <c r="Q3">
        <v>45033</v>
      </c>
      <c r="R3" t="str">
        <v>Toronto</v>
      </c>
      <c r="S3" t="str">
        <v>Credit Card</v>
      </c>
      <c r="U3" t="str">
        <v>Guinea Pig</v>
      </c>
      <c r="V3">
        <v>100</v>
      </c>
    </row>
    <row r="4" spans="1:22" x14ac:dyDescent="0.3">
      <c r="A4" t="str">
        <v>Rabbit</v>
      </c>
      <c r="C4" t="str">
        <v>A0011</v>
      </c>
      <c r="D4" t="str">
        <v>Bird</v>
      </c>
      <c r="E4" t="str">
        <v>Persian</v>
      </c>
      <c r="F4">
        <v>13</v>
      </c>
      <c r="G4">
        <v>200</v>
      </c>
      <c r="H4">
        <v>45236</v>
      </c>
      <c r="I4" t="str">
        <v>Toronto</v>
      </c>
      <c r="J4" t="str">
        <v>Debit</v>
      </c>
      <c r="L4" t="str">
        <v>A0017</v>
      </c>
      <c r="M4" t="str">
        <v>Bird</v>
      </c>
      <c r="N4" t="str">
        <v>Siamese</v>
      </c>
      <c r="O4">
        <v>11</v>
      </c>
      <c r="P4">
        <v>200</v>
      </c>
      <c r="Q4">
        <v>45152</v>
      </c>
      <c r="R4" t="str">
        <v>Toronto</v>
      </c>
      <c r="S4" t="str">
        <v>Credit Card</v>
      </c>
      <c r="U4" t="str">
        <v>Rabbit</v>
      </c>
      <c r="V4">
        <v>50</v>
      </c>
    </row>
    <row r="5" spans="1:22" x14ac:dyDescent="0.3">
      <c r="A5" t="str">
        <v>Cat</v>
      </c>
      <c r="C5" t="str">
        <v>A0013</v>
      </c>
      <c r="D5" t="str">
        <v>Guinea Pig</v>
      </c>
      <c r="E5" t="str">
        <v>Persian</v>
      </c>
      <c r="F5">
        <v>10</v>
      </c>
      <c r="G5">
        <v>200</v>
      </c>
      <c r="H5">
        <v>45419</v>
      </c>
      <c r="I5" t="str">
        <v>Ottawa</v>
      </c>
      <c r="J5" t="str">
        <v>Credit Card</v>
      </c>
      <c r="L5" t="str">
        <v>A0019</v>
      </c>
      <c r="M5" t="str">
        <v>Dog</v>
      </c>
      <c r="N5" t="str">
        <v>American</v>
      </c>
      <c r="O5">
        <v>5</v>
      </c>
      <c r="P5">
        <v>150</v>
      </c>
      <c r="Q5">
        <v>45432</v>
      </c>
      <c r="R5" t="str">
        <v>Toronto</v>
      </c>
      <c r="S5" t="str">
        <v>Credit Card</v>
      </c>
      <c r="U5" t="str">
        <v>Guinea Pig</v>
      </c>
      <c r="V5">
        <v>150</v>
      </c>
    </row>
    <row r="6" spans="1:22" x14ac:dyDescent="0.3">
      <c r="A6" t="str">
        <v>Dog</v>
      </c>
      <c r="C6" t="str">
        <v>A0015</v>
      </c>
      <c r="D6" t="str">
        <v>Bird</v>
      </c>
      <c r="E6" t="str">
        <v>American</v>
      </c>
      <c r="F6">
        <v>6</v>
      </c>
      <c r="G6">
        <v>200</v>
      </c>
      <c r="H6">
        <v>45256</v>
      </c>
      <c r="I6" t="str">
        <v>Vancouver</v>
      </c>
      <c r="J6" t="str">
        <v>Credit Card</v>
      </c>
      <c r="L6" t="str">
        <v>A0021</v>
      </c>
      <c r="M6" t="str">
        <v>Cat</v>
      </c>
      <c r="N6" t="str">
        <v>Cockatiel</v>
      </c>
      <c r="O6">
        <v>1</v>
      </c>
      <c r="P6">
        <v>75</v>
      </c>
      <c r="Q6">
        <v>45443</v>
      </c>
      <c r="R6" t="str">
        <v>Toronto</v>
      </c>
      <c r="S6" t="str">
        <v>Credit Card</v>
      </c>
      <c r="U6" t="str">
        <v>Guinea Pig</v>
      </c>
      <c r="V6">
        <v>75</v>
      </c>
    </row>
    <row r="7" spans="1:22" x14ac:dyDescent="0.3">
      <c r="C7" t="str">
        <v>A0016</v>
      </c>
      <c r="D7" t="str">
        <v>Cat</v>
      </c>
      <c r="E7" t="str">
        <v>Cockatiel</v>
      </c>
      <c r="F7">
        <v>5</v>
      </c>
      <c r="G7">
        <v>200</v>
      </c>
      <c r="H7">
        <v>45033</v>
      </c>
      <c r="I7" t="str">
        <v>Toronto</v>
      </c>
      <c r="J7" t="str">
        <v>Credit Card</v>
      </c>
      <c r="L7" t="str">
        <v>A0050</v>
      </c>
      <c r="M7" t="str">
        <v>Bird</v>
      </c>
      <c r="N7" t="str">
        <v>Siamese</v>
      </c>
      <c r="O7">
        <v>3</v>
      </c>
      <c r="P7">
        <v>75</v>
      </c>
      <c r="Q7">
        <v>45152</v>
      </c>
      <c r="R7" t="str">
        <v>Toronto</v>
      </c>
      <c r="S7" t="str">
        <v>Credit Card</v>
      </c>
      <c r="U7" t="str">
        <v>Cat</v>
      </c>
      <c r="V7">
        <v>75</v>
      </c>
    </row>
    <row r="8" spans="1:22" x14ac:dyDescent="0.3">
      <c r="C8" t="str">
        <v>A0017</v>
      </c>
      <c r="D8" t="str">
        <v>Bird</v>
      </c>
      <c r="E8" t="str">
        <v>Siamese</v>
      </c>
      <c r="F8">
        <v>11</v>
      </c>
      <c r="G8">
        <v>200</v>
      </c>
      <c r="H8">
        <v>45152</v>
      </c>
      <c r="I8" t="str">
        <v>Toronto</v>
      </c>
      <c r="J8" t="str">
        <v>Credit Card</v>
      </c>
      <c r="L8" t="str">
        <v>A0059</v>
      </c>
      <c r="M8" t="str">
        <v>Bird</v>
      </c>
      <c r="N8" t="str">
        <v>Cockatiel</v>
      </c>
      <c r="O8">
        <v>10</v>
      </c>
      <c r="P8">
        <v>50</v>
      </c>
      <c r="Q8">
        <v>45040</v>
      </c>
      <c r="R8" t="str">
        <v>Toronto</v>
      </c>
      <c r="S8" t="str">
        <v>Credit Card</v>
      </c>
      <c r="U8" t="str">
        <v>Rabbit</v>
      </c>
      <c r="V8">
        <v>200</v>
      </c>
    </row>
    <row r="9" spans="1:22" x14ac:dyDescent="0.3">
      <c r="C9" t="str">
        <v>A0020</v>
      </c>
      <c r="D9" t="str">
        <v>Bird</v>
      </c>
      <c r="E9" t="str">
        <v>Bulldog</v>
      </c>
      <c r="F9">
        <v>1</v>
      </c>
      <c r="G9">
        <v>200</v>
      </c>
      <c r="H9">
        <v>45185</v>
      </c>
      <c r="I9" t="str">
        <v>Montreal</v>
      </c>
      <c r="J9" t="str">
        <v>Online Transfer</v>
      </c>
      <c r="L9" t="str">
        <v>A0135</v>
      </c>
      <c r="M9" t="str">
        <v>Rabbit</v>
      </c>
      <c r="N9" t="str">
        <v>American</v>
      </c>
      <c r="O9">
        <v>6</v>
      </c>
      <c r="P9">
        <v>100</v>
      </c>
      <c r="Q9">
        <v>44933</v>
      </c>
      <c r="R9" t="str">
        <v>Toronto</v>
      </c>
      <c r="S9" t="str">
        <v>Credit Card</v>
      </c>
      <c r="U9" t="str">
        <v>Rabbit</v>
      </c>
      <c r="V9">
        <v>100</v>
      </c>
    </row>
    <row r="10" spans="1:22" x14ac:dyDescent="0.3">
      <c r="C10" t="str">
        <v>A0030</v>
      </c>
      <c r="D10" t="str">
        <v>Bird</v>
      </c>
      <c r="E10" t="str">
        <v>American</v>
      </c>
      <c r="F10">
        <v>8</v>
      </c>
      <c r="G10">
        <v>200</v>
      </c>
      <c r="H10">
        <v>45071</v>
      </c>
      <c r="I10" t="str">
        <v>Calgary</v>
      </c>
      <c r="J10" t="str">
        <v>Debit</v>
      </c>
      <c r="L10" t="str">
        <v>A0168</v>
      </c>
      <c r="M10" t="str">
        <v>Rabbit</v>
      </c>
      <c r="N10" t="str">
        <v>Siamese</v>
      </c>
      <c r="O10">
        <v>6</v>
      </c>
      <c r="P10">
        <v>200</v>
      </c>
      <c r="Q10">
        <v>45089</v>
      </c>
      <c r="R10" t="str">
        <v>Toronto</v>
      </c>
      <c r="S10" t="str">
        <v>Credit Card</v>
      </c>
      <c r="U10" t="str">
        <v>Rabbit</v>
      </c>
      <c r="V10">
        <v>75</v>
      </c>
    </row>
    <row r="11" spans="1:22" x14ac:dyDescent="0.3">
      <c r="C11" t="str">
        <v>A0038</v>
      </c>
      <c r="D11" t="str">
        <v>Guinea Pig</v>
      </c>
      <c r="E11" t="str">
        <v>Siamese</v>
      </c>
      <c r="F11">
        <v>9</v>
      </c>
      <c r="G11">
        <v>200</v>
      </c>
      <c r="H11">
        <v>45193</v>
      </c>
      <c r="I11" t="str">
        <v>Toronto</v>
      </c>
      <c r="J11" t="str">
        <v>Cash</v>
      </c>
      <c r="L11" t="str">
        <v>A0200</v>
      </c>
      <c r="M11" t="str">
        <v>Bird</v>
      </c>
      <c r="N11" t="str">
        <v>Labrador</v>
      </c>
      <c r="O11">
        <v>9</v>
      </c>
      <c r="P11">
        <v>50</v>
      </c>
      <c r="Q11">
        <v>45264</v>
      </c>
      <c r="R11" t="str">
        <v>Toronto</v>
      </c>
      <c r="S11" t="str">
        <v>Credit Card</v>
      </c>
      <c r="U11" t="str">
        <v>Guinea Pig</v>
      </c>
      <c r="V11">
        <v>50</v>
      </c>
    </row>
    <row r="12" spans="1:22" x14ac:dyDescent="0.3">
      <c r="L12" t="str">
        <v>A0231</v>
      </c>
      <c r="M12" t="str">
        <v>Cat</v>
      </c>
      <c r="N12" t="str">
        <v>Cockatiel</v>
      </c>
      <c r="O12">
        <v>4</v>
      </c>
      <c r="P12">
        <v>100</v>
      </c>
      <c r="Q12">
        <v>45243</v>
      </c>
      <c r="R12" t="str">
        <v>Toronto</v>
      </c>
      <c r="S12" t="str">
        <v>Credit Card</v>
      </c>
      <c r="U12" t="str">
        <v>Bird</v>
      </c>
      <c r="V12">
        <v>200</v>
      </c>
    </row>
    <row r="13" spans="1:22" x14ac:dyDescent="0.3">
      <c r="L13" t="str">
        <v>A0285</v>
      </c>
      <c r="M13" t="str">
        <v>Dog</v>
      </c>
      <c r="N13" t="str">
        <v>Persian</v>
      </c>
      <c r="O13">
        <v>1</v>
      </c>
      <c r="P13">
        <v>200</v>
      </c>
      <c r="Q13">
        <v>45346</v>
      </c>
      <c r="R13" t="str">
        <v>Toronto</v>
      </c>
      <c r="S13" t="str">
        <v>Credit Card</v>
      </c>
      <c r="U13" t="str">
        <v>Rabbit</v>
      </c>
      <c r="V13">
        <v>150</v>
      </c>
    </row>
    <row r="14" spans="1:22" x14ac:dyDescent="0.3">
      <c r="L14" t="str">
        <v>A0307</v>
      </c>
      <c r="M14" t="str">
        <v>Dog</v>
      </c>
      <c r="N14" t="str">
        <v>American</v>
      </c>
      <c r="O14">
        <v>6</v>
      </c>
      <c r="P14">
        <v>50</v>
      </c>
      <c r="Q14">
        <v>45219</v>
      </c>
      <c r="R14" t="str">
        <v>Toronto</v>
      </c>
      <c r="S14" t="str">
        <v>Credit Card</v>
      </c>
      <c r="U14" t="str">
        <v>Guinea Pig</v>
      </c>
      <c r="V14">
        <v>200</v>
      </c>
    </row>
    <row r="15" spans="1:22" x14ac:dyDescent="0.3">
      <c r="L15" t="str">
        <v>A0353</v>
      </c>
      <c r="M15" t="str">
        <v>Dog</v>
      </c>
      <c r="N15" t="str">
        <v>Bulldog</v>
      </c>
      <c r="O15">
        <v>7</v>
      </c>
      <c r="P15">
        <v>200</v>
      </c>
      <c r="Q15">
        <v>45045</v>
      </c>
      <c r="R15" t="str">
        <v>Toronto</v>
      </c>
      <c r="S15" t="str">
        <v>Credit Card</v>
      </c>
      <c r="U15" t="str">
        <v>Cat</v>
      </c>
      <c r="V15">
        <v>150</v>
      </c>
    </row>
    <row r="16" spans="1:22" x14ac:dyDescent="0.3">
      <c r="U16" t="str">
        <v>Bird</v>
      </c>
      <c r="V16">
        <v>200</v>
      </c>
    </row>
    <row r="17" spans="1:22" x14ac:dyDescent="0.3">
      <c r="U17" t="str">
        <v>Cat</v>
      </c>
      <c r="V17">
        <v>200</v>
      </c>
    </row>
    <row r="18" spans="1:22" x14ac:dyDescent="0.3">
      <c r="A18" s="7" t="s">
        <v>442</v>
      </c>
      <c r="B18" s="4"/>
      <c r="C18" s="4"/>
      <c r="D18" s="4"/>
      <c r="E18" s="4"/>
      <c r="F18" s="4"/>
      <c r="G18" s="4"/>
      <c r="H18" s="4"/>
      <c r="J18" s="8" t="s">
        <v>447</v>
      </c>
      <c r="K18" s="3"/>
      <c r="U18" t="str">
        <v>Bird</v>
      </c>
      <c r="V18">
        <v>200</v>
      </c>
    </row>
    <row r="19" spans="1:22" x14ac:dyDescent="0.3">
      <c r="A19" t="str" cm="1">
        <f t="array" ref="A19:H33">INDEX(_xlfn._xlws.SORT(Table1[], MATCH("Adoption Date",Table1[#Headers],0),-1), _xlfn.SEQUENCE(15), _xlfn.SEQUENCE(1,COLUMNS(Table1[])))</f>
        <v>A0204</v>
      </c>
      <c r="B19" t="str">
        <v>Dog</v>
      </c>
      <c r="C19" t="str">
        <v>Bulldog</v>
      </c>
      <c r="D19">
        <v>10</v>
      </c>
      <c r="E19">
        <v>50</v>
      </c>
      <c r="F19">
        <v>45470</v>
      </c>
      <c r="G19" t="str">
        <v>Montreal</v>
      </c>
      <c r="H19" t="str">
        <v>Credit Card</v>
      </c>
      <c r="J19" t="str" cm="1">
        <f t="array" ref="J19:J25">_xlfn.UNIQUE(Table1[Breed])</f>
        <v>Holland Lop</v>
      </c>
      <c r="K19" cm="1">
        <f t="array" ref="K19:K25">COUNTIF(Table1[Breed],_xlfn.ANCHORARRAY( J19))</f>
        <v>49</v>
      </c>
      <c r="U19" t="str">
        <v>Guinea Pig</v>
      </c>
      <c r="V19">
        <v>150</v>
      </c>
    </row>
    <row r="20" spans="1:22" x14ac:dyDescent="0.3">
      <c r="A20" t="str">
        <v>A0040</v>
      </c>
      <c r="B20" t="str">
        <v>Cat</v>
      </c>
      <c r="C20" t="str">
        <v>American</v>
      </c>
      <c r="D20">
        <v>0</v>
      </c>
      <c r="E20">
        <v>50</v>
      </c>
      <c r="F20">
        <v>45467</v>
      </c>
      <c r="G20" t="str">
        <v>Montreal</v>
      </c>
      <c r="H20" t="str">
        <v>Online Transfer</v>
      </c>
      <c r="J20" t="str">
        <v>American</v>
      </c>
      <c r="K20">
        <v>76</v>
      </c>
      <c r="U20" t="str">
        <v>Dog</v>
      </c>
      <c r="V20">
        <v>150</v>
      </c>
    </row>
    <row r="21" spans="1:22" x14ac:dyDescent="0.3">
      <c r="A21" t="str">
        <v>A0156</v>
      </c>
      <c r="B21" t="str">
        <v>Dog</v>
      </c>
      <c r="C21" t="str">
        <v>Cockatiel</v>
      </c>
      <c r="D21">
        <v>5</v>
      </c>
      <c r="E21">
        <v>75</v>
      </c>
      <c r="F21">
        <v>45465</v>
      </c>
      <c r="G21" t="str">
        <v>Toronto</v>
      </c>
      <c r="H21" t="str">
        <v>Debit</v>
      </c>
      <c r="J21" t="str">
        <v>Persian</v>
      </c>
      <c r="K21">
        <v>47</v>
      </c>
      <c r="U21" t="str">
        <v>Bird</v>
      </c>
      <c r="V21">
        <v>200</v>
      </c>
    </row>
    <row r="22" spans="1:22" x14ac:dyDescent="0.3">
      <c r="A22" t="str">
        <v>A0173</v>
      </c>
      <c r="B22" t="str">
        <v>Cat</v>
      </c>
      <c r="C22" t="str">
        <v>Holland Lop</v>
      </c>
      <c r="D22">
        <v>8</v>
      </c>
      <c r="E22">
        <v>75</v>
      </c>
      <c r="F22">
        <v>45465</v>
      </c>
      <c r="G22" t="str">
        <v>Vancouver</v>
      </c>
      <c r="H22" t="str">
        <v>Online Transfer</v>
      </c>
      <c r="J22" t="str">
        <v>Labrador</v>
      </c>
      <c r="K22">
        <v>64</v>
      </c>
      <c r="U22" t="str">
        <v>Cat</v>
      </c>
      <c r="V22">
        <v>75</v>
      </c>
    </row>
    <row r="23" spans="1:22" x14ac:dyDescent="0.3">
      <c r="A23" t="str">
        <v>A0140</v>
      </c>
      <c r="B23" t="str">
        <v>Guinea Pig</v>
      </c>
      <c r="C23" t="str">
        <v>Bulldog</v>
      </c>
      <c r="D23">
        <v>9</v>
      </c>
      <c r="E23">
        <v>150</v>
      </c>
      <c r="F23">
        <v>45464</v>
      </c>
      <c r="G23" t="str">
        <v>Calgary</v>
      </c>
      <c r="H23" t="str">
        <v>Online Transfer</v>
      </c>
      <c r="J23" t="str">
        <v>Cockatiel</v>
      </c>
      <c r="K23">
        <v>60</v>
      </c>
      <c r="U23" t="str">
        <v>Guinea Pig</v>
      </c>
      <c r="V23">
        <v>100</v>
      </c>
    </row>
    <row r="24" spans="1:22" x14ac:dyDescent="0.3">
      <c r="A24" t="str">
        <v>A0400</v>
      </c>
      <c r="B24" t="str">
        <v>Cat</v>
      </c>
      <c r="C24" t="str">
        <v>Persian</v>
      </c>
      <c r="D24">
        <v>12</v>
      </c>
      <c r="E24">
        <v>100</v>
      </c>
      <c r="F24">
        <v>45464</v>
      </c>
      <c r="G24" t="str">
        <v>Vancouver</v>
      </c>
      <c r="H24" t="str">
        <v>Debit</v>
      </c>
      <c r="J24" t="str">
        <v>Bulldog</v>
      </c>
      <c r="K24">
        <v>46</v>
      </c>
      <c r="U24" t="str">
        <v>Bird</v>
      </c>
      <c r="V24">
        <v>100</v>
      </c>
    </row>
    <row r="25" spans="1:22" x14ac:dyDescent="0.3">
      <c r="A25" t="str">
        <v>A0047</v>
      </c>
      <c r="B25" t="str">
        <v>Cat</v>
      </c>
      <c r="C25" t="str">
        <v>Holland Lop</v>
      </c>
      <c r="D25">
        <v>9</v>
      </c>
      <c r="E25">
        <v>150</v>
      </c>
      <c r="F25">
        <v>45463</v>
      </c>
      <c r="G25" t="str">
        <v>Montreal</v>
      </c>
      <c r="H25" t="str">
        <v>Online Transfer</v>
      </c>
      <c r="J25" t="str">
        <v>Siamese</v>
      </c>
      <c r="K25">
        <v>58</v>
      </c>
      <c r="U25" t="str">
        <v>Dog</v>
      </c>
      <c r="V25">
        <v>100</v>
      </c>
    </row>
    <row r="26" spans="1:22" x14ac:dyDescent="0.3">
      <c r="A26" t="str">
        <v>A0259</v>
      </c>
      <c r="B26" t="str">
        <v>Cat</v>
      </c>
      <c r="C26" t="str">
        <v>American</v>
      </c>
      <c r="D26">
        <v>4</v>
      </c>
      <c r="E26">
        <v>100</v>
      </c>
      <c r="F26">
        <v>45463</v>
      </c>
      <c r="G26" t="str">
        <v>Vancouver</v>
      </c>
      <c r="H26" t="str">
        <v>Debit</v>
      </c>
      <c r="U26" t="str">
        <v>Dog</v>
      </c>
      <c r="V26">
        <v>150</v>
      </c>
    </row>
    <row r="27" spans="1:22" x14ac:dyDescent="0.3">
      <c r="A27" t="str">
        <v>A0182</v>
      </c>
      <c r="B27" t="str">
        <v>Rabbit</v>
      </c>
      <c r="C27" t="str">
        <v>Labrador</v>
      </c>
      <c r="D27">
        <v>12</v>
      </c>
      <c r="E27">
        <v>150</v>
      </c>
      <c r="F27">
        <v>45462</v>
      </c>
      <c r="G27" t="str">
        <v>Calgary</v>
      </c>
      <c r="H27" t="str">
        <v>Credit Card</v>
      </c>
      <c r="U27" t="str">
        <v>Rabbit</v>
      </c>
      <c r="V27">
        <v>150</v>
      </c>
    </row>
    <row r="28" spans="1:22" x14ac:dyDescent="0.3">
      <c r="A28" t="str">
        <v>A0086</v>
      </c>
      <c r="B28" t="str">
        <v>Dog</v>
      </c>
      <c r="C28" t="str">
        <v>Labrador</v>
      </c>
      <c r="D28">
        <v>4</v>
      </c>
      <c r="E28">
        <v>100</v>
      </c>
      <c r="F28">
        <v>45461</v>
      </c>
      <c r="G28" t="str">
        <v>Ottawa</v>
      </c>
      <c r="H28" t="str">
        <v>Cash</v>
      </c>
      <c r="U28" t="str">
        <v>Rabbit</v>
      </c>
      <c r="V28">
        <v>75</v>
      </c>
    </row>
    <row r="29" spans="1:22" x14ac:dyDescent="0.3">
      <c r="A29" t="str">
        <v>A0283</v>
      </c>
      <c r="B29" t="str">
        <v>Dog</v>
      </c>
      <c r="C29" t="str">
        <v>Cockatiel</v>
      </c>
      <c r="D29">
        <v>0</v>
      </c>
      <c r="E29">
        <v>50</v>
      </c>
      <c r="F29">
        <v>45458</v>
      </c>
      <c r="G29" t="str">
        <v>Calgary</v>
      </c>
      <c r="H29" t="str">
        <v>Debit</v>
      </c>
      <c r="U29" t="str">
        <v>Cat</v>
      </c>
      <c r="V29">
        <v>100</v>
      </c>
    </row>
    <row r="30" spans="1:22" x14ac:dyDescent="0.3">
      <c r="A30" t="str">
        <v>A0297</v>
      </c>
      <c r="B30" t="str">
        <v>Guinea Pig</v>
      </c>
      <c r="C30" t="str">
        <v>Cockatiel</v>
      </c>
      <c r="D30">
        <v>0</v>
      </c>
      <c r="E30">
        <v>150</v>
      </c>
      <c r="F30">
        <v>45456</v>
      </c>
      <c r="G30" t="str">
        <v>Vancouver</v>
      </c>
      <c r="H30" t="str">
        <v>Online Transfer</v>
      </c>
      <c r="U30" t="str">
        <v>Bird</v>
      </c>
      <c r="V30">
        <v>100</v>
      </c>
    </row>
    <row r="31" spans="1:22" x14ac:dyDescent="0.3">
      <c r="A31" t="str">
        <v>A0166</v>
      </c>
      <c r="B31" t="str">
        <v>Cat</v>
      </c>
      <c r="C31" t="str">
        <v>Persian</v>
      </c>
      <c r="D31">
        <v>8</v>
      </c>
      <c r="E31">
        <v>200</v>
      </c>
      <c r="F31">
        <v>45453</v>
      </c>
      <c r="G31" t="str">
        <v>Calgary</v>
      </c>
      <c r="H31" t="str">
        <v>Cash</v>
      </c>
      <c r="U31" t="str">
        <v>Bird</v>
      </c>
      <c r="V31">
        <v>200</v>
      </c>
    </row>
    <row r="32" spans="1:22" x14ac:dyDescent="0.3">
      <c r="A32" t="str">
        <v>A0184</v>
      </c>
      <c r="B32" t="str">
        <v>Cat</v>
      </c>
      <c r="C32" t="str">
        <v>Persian</v>
      </c>
      <c r="D32">
        <v>14</v>
      </c>
      <c r="E32">
        <v>200</v>
      </c>
      <c r="F32">
        <v>45453</v>
      </c>
      <c r="G32" t="str">
        <v>Calgary</v>
      </c>
      <c r="H32" t="str">
        <v>Debit</v>
      </c>
      <c r="U32" t="str">
        <v>Rabbit</v>
      </c>
      <c r="V32">
        <v>150</v>
      </c>
    </row>
    <row r="33" spans="1:22" x14ac:dyDescent="0.3">
      <c r="A33" t="str">
        <v>A0303</v>
      </c>
      <c r="B33" t="str">
        <v>Dog</v>
      </c>
      <c r="C33" t="str">
        <v>Bulldog</v>
      </c>
      <c r="D33">
        <v>10</v>
      </c>
      <c r="E33">
        <v>50</v>
      </c>
      <c r="F33">
        <v>45452</v>
      </c>
      <c r="G33" t="str">
        <v>Montreal</v>
      </c>
      <c r="H33" t="str">
        <v>Online Transfer</v>
      </c>
      <c r="U33" t="str">
        <v>Bird</v>
      </c>
      <c r="V33">
        <v>100</v>
      </c>
    </row>
    <row r="34" spans="1:22" x14ac:dyDescent="0.3">
      <c r="U34" t="str">
        <v>Bird</v>
      </c>
      <c r="V34">
        <v>75</v>
      </c>
    </row>
    <row r="35" spans="1:22" x14ac:dyDescent="0.3">
      <c r="U35" t="str">
        <v>Dog</v>
      </c>
      <c r="V35">
        <v>75</v>
      </c>
    </row>
    <row r="36" spans="1:22" x14ac:dyDescent="0.3">
      <c r="U36" t="str">
        <v>Rabbit</v>
      </c>
      <c r="V36">
        <v>100</v>
      </c>
    </row>
    <row r="37" spans="1:22" x14ac:dyDescent="0.3">
      <c r="U37" t="str">
        <v>Guinea Pig</v>
      </c>
      <c r="V37">
        <v>150</v>
      </c>
    </row>
    <row r="38" spans="1:22" x14ac:dyDescent="0.3">
      <c r="U38" t="str">
        <v>Rabbit</v>
      </c>
      <c r="V38">
        <v>75</v>
      </c>
    </row>
    <row r="39" spans="1:22" x14ac:dyDescent="0.3">
      <c r="U39" t="str">
        <v>Guinea Pig</v>
      </c>
      <c r="V39">
        <v>200</v>
      </c>
    </row>
    <row r="40" spans="1:22" x14ac:dyDescent="0.3">
      <c r="U40" t="str">
        <v>Dog</v>
      </c>
      <c r="V40">
        <v>75</v>
      </c>
    </row>
    <row r="41" spans="1:22" x14ac:dyDescent="0.3">
      <c r="U41" t="str">
        <v>Cat</v>
      </c>
      <c r="V41">
        <v>50</v>
      </c>
    </row>
    <row r="42" spans="1:22" x14ac:dyDescent="0.3">
      <c r="U42" t="str">
        <v>Bird</v>
      </c>
      <c r="V42">
        <v>50</v>
      </c>
    </row>
    <row r="43" spans="1:22" x14ac:dyDescent="0.3">
      <c r="U43" t="str">
        <v>Dog</v>
      </c>
      <c r="V43">
        <v>150</v>
      </c>
    </row>
    <row r="44" spans="1:22" x14ac:dyDescent="0.3">
      <c r="U44" t="str">
        <v>Bird</v>
      </c>
      <c r="V44">
        <v>100</v>
      </c>
    </row>
    <row r="45" spans="1:22" x14ac:dyDescent="0.3">
      <c r="U45" t="str">
        <v>Cat</v>
      </c>
      <c r="V45">
        <v>150</v>
      </c>
    </row>
    <row r="46" spans="1:22" x14ac:dyDescent="0.3">
      <c r="U46" t="str">
        <v>Cat</v>
      </c>
      <c r="V46">
        <v>150</v>
      </c>
    </row>
    <row r="47" spans="1:22" x14ac:dyDescent="0.3">
      <c r="U47" t="str">
        <v>Dog</v>
      </c>
      <c r="V47">
        <v>150</v>
      </c>
    </row>
    <row r="48" spans="1:22" x14ac:dyDescent="0.3">
      <c r="U48" t="str">
        <v>Cat</v>
      </c>
      <c r="V48">
        <v>150</v>
      </c>
    </row>
    <row r="49" spans="21:22" x14ac:dyDescent="0.3">
      <c r="U49" t="str">
        <v>Guinea Pig</v>
      </c>
      <c r="V49">
        <v>200</v>
      </c>
    </row>
    <row r="50" spans="21:22" x14ac:dyDescent="0.3">
      <c r="U50" t="str">
        <v>Cat</v>
      </c>
      <c r="V50">
        <v>200</v>
      </c>
    </row>
    <row r="51" spans="21:22" x14ac:dyDescent="0.3">
      <c r="U51" t="str">
        <v>Bird</v>
      </c>
      <c r="V51">
        <v>75</v>
      </c>
    </row>
    <row r="52" spans="21:22" x14ac:dyDescent="0.3">
      <c r="U52" t="str">
        <v>Bird</v>
      </c>
      <c r="V52">
        <v>50</v>
      </c>
    </row>
    <row r="53" spans="21:22" x14ac:dyDescent="0.3">
      <c r="U53" t="str">
        <v>Bird</v>
      </c>
      <c r="V53">
        <v>150</v>
      </c>
    </row>
    <row r="54" spans="21:22" x14ac:dyDescent="0.3">
      <c r="U54" t="str">
        <v>Bird</v>
      </c>
      <c r="V54">
        <v>75</v>
      </c>
    </row>
    <row r="55" spans="21:22" x14ac:dyDescent="0.3">
      <c r="U55" t="str">
        <v>Guinea Pig</v>
      </c>
      <c r="V55">
        <v>50</v>
      </c>
    </row>
    <row r="56" spans="21:22" x14ac:dyDescent="0.3">
      <c r="U56" t="str">
        <v>Rabbit</v>
      </c>
      <c r="V56">
        <v>100</v>
      </c>
    </row>
    <row r="57" spans="21:22" x14ac:dyDescent="0.3">
      <c r="U57" t="str">
        <v>Dog</v>
      </c>
      <c r="V57">
        <v>200</v>
      </c>
    </row>
    <row r="58" spans="21:22" x14ac:dyDescent="0.3">
      <c r="U58" t="str">
        <v>Bird</v>
      </c>
      <c r="V58">
        <v>50</v>
      </c>
    </row>
    <row r="59" spans="21:22" x14ac:dyDescent="0.3">
      <c r="U59" t="str">
        <v>Cat</v>
      </c>
      <c r="V59">
        <v>100</v>
      </c>
    </row>
    <row r="60" spans="21:22" x14ac:dyDescent="0.3">
      <c r="U60" t="str">
        <v>Bird</v>
      </c>
      <c r="V60">
        <v>50</v>
      </c>
    </row>
    <row r="61" spans="21:22" x14ac:dyDescent="0.3">
      <c r="U61" t="str">
        <v>Cat</v>
      </c>
      <c r="V61">
        <v>200</v>
      </c>
    </row>
    <row r="62" spans="21:22" x14ac:dyDescent="0.3">
      <c r="U62" t="str">
        <v>Cat</v>
      </c>
      <c r="V62">
        <v>200</v>
      </c>
    </row>
    <row r="63" spans="21:22" x14ac:dyDescent="0.3">
      <c r="U63" t="str">
        <v>Bird</v>
      </c>
      <c r="V63">
        <v>75</v>
      </c>
    </row>
    <row r="64" spans="21:22" x14ac:dyDescent="0.3">
      <c r="U64" t="str">
        <v>Guinea Pig</v>
      </c>
      <c r="V64">
        <v>150</v>
      </c>
    </row>
    <row r="65" spans="21:22" x14ac:dyDescent="0.3">
      <c r="U65" t="str">
        <v>Cat</v>
      </c>
      <c r="V65">
        <v>50</v>
      </c>
    </row>
    <row r="66" spans="21:22" x14ac:dyDescent="0.3">
      <c r="U66" t="str">
        <v>Cat</v>
      </c>
      <c r="V66">
        <v>50</v>
      </c>
    </row>
    <row r="67" spans="21:22" x14ac:dyDescent="0.3">
      <c r="U67" t="str">
        <v>Bird</v>
      </c>
      <c r="V67">
        <v>100</v>
      </c>
    </row>
    <row r="68" spans="21:22" x14ac:dyDescent="0.3">
      <c r="U68" t="str">
        <v>Cat</v>
      </c>
      <c r="V68">
        <v>200</v>
      </c>
    </row>
    <row r="69" spans="21:22" x14ac:dyDescent="0.3">
      <c r="U69" t="str">
        <v>Cat</v>
      </c>
      <c r="V69">
        <v>50</v>
      </c>
    </row>
    <row r="70" spans="21:22" x14ac:dyDescent="0.3">
      <c r="U70" t="str">
        <v>Bird</v>
      </c>
      <c r="V70">
        <v>200</v>
      </c>
    </row>
    <row r="71" spans="21:22" x14ac:dyDescent="0.3">
      <c r="U71" t="str">
        <v>Bird</v>
      </c>
      <c r="V71">
        <v>50</v>
      </c>
    </row>
    <row r="72" spans="21:22" x14ac:dyDescent="0.3">
      <c r="U72" t="str">
        <v>Dog</v>
      </c>
      <c r="V72">
        <v>75</v>
      </c>
    </row>
    <row r="73" spans="21:22" x14ac:dyDescent="0.3">
      <c r="U73" t="str">
        <v>Guinea Pig</v>
      </c>
      <c r="V73">
        <v>150</v>
      </c>
    </row>
    <row r="74" spans="21:22" x14ac:dyDescent="0.3">
      <c r="U74" t="str">
        <v>Guinea Pig</v>
      </c>
      <c r="V74">
        <v>50</v>
      </c>
    </row>
    <row r="75" spans="21:22" x14ac:dyDescent="0.3">
      <c r="U75" t="str">
        <v>Cat</v>
      </c>
      <c r="V75">
        <v>200</v>
      </c>
    </row>
    <row r="76" spans="21:22" x14ac:dyDescent="0.3">
      <c r="U76" t="str">
        <v>Guinea Pig</v>
      </c>
      <c r="V76">
        <v>75</v>
      </c>
    </row>
    <row r="77" spans="21:22" x14ac:dyDescent="0.3">
      <c r="U77" t="str">
        <v>Cat</v>
      </c>
      <c r="V77">
        <v>50</v>
      </c>
    </row>
    <row r="78" spans="21:22" x14ac:dyDescent="0.3">
      <c r="U78" t="str">
        <v>Dog</v>
      </c>
      <c r="V78">
        <v>100</v>
      </c>
    </row>
    <row r="79" spans="21:22" x14ac:dyDescent="0.3">
      <c r="U79" t="str">
        <v>Bird</v>
      </c>
      <c r="V79">
        <v>150</v>
      </c>
    </row>
    <row r="80" spans="21:22" x14ac:dyDescent="0.3">
      <c r="U80" t="str">
        <v>Bird</v>
      </c>
      <c r="V80">
        <v>50</v>
      </c>
    </row>
    <row r="81" spans="21:22" x14ac:dyDescent="0.3">
      <c r="U81" t="str">
        <v>Bird</v>
      </c>
      <c r="V81">
        <v>75</v>
      </c>
    </row>
    <row r="82" spans="21:22" x14ac:dyDescent="0.3">
      <c r="U82" t="str">
        <v>Guinea Pig</v>
      </c>
      <c r="V82">
        <v>100</v>
      </c>
    </row>
    <row r="83" spans="21:22" x14ac:dyDescent="0.3">
      <c r="U83" t="str">
        <v>Dog</v>
      </c>
      <c r="V83">
        <v>75</v>
      </c>
    </row>
    <row r="84" spans="21:22" x14ac:dyDescent="0.3">
      <c r="U84" t="str">
        <v>Guinea Pig</v>
      </c>
      <c r="V84">
        <v>75</v>
      </c>
    </row>
    <row r="85" spans="21:22" x14ac:dyDescent="0.3">
      <c r="U85" t="str">
        <v>Guinea Pig</v>
      </c>
      <c r="V85">
        <v>100</v>
      </c>
    </row>
    <row r="86" spans="21:22" x14ac:dyDescent="0.3">
      <c r="U86" t="str">
        <v>Dog</v>
      </c>
      <c r="V86">
        <v>75</v>
      </c>
    </row>
    <row r="87" spans="21:22" x14ac:dyDescent="0.3">
      <c r="U87" t="str">
        <v>Dog</v>
      </c>
      <c r="V87">
        <v>100</v>
      </c>
    </row>
    <row r="88" spans="21:22" x14ac:dyDescent="0.3">
      <c r="U88" t="str">
        <v>Dog</v>
      </c>
      <c r="V88">
        <v>50</v>
      </c>
    </row>
    <row r="89" spans="21:22" x14ac:dyDescent="0.3">
      <c r="U89" t="str">
        <v>Dog</v>
      </c>
      <c r="V89">
        <v>100</v>
      </c>
    </row>
    <row r="90" spans="21:22" x14ac:dyDescent="0.3">
      <c r="U90" t="str">
        <v>Bird</v>
      </c>
      <c r="V90">
        <v>100</v>
      </c>
    </row>
    <row r="91" spans="21:22" x14ac:dyDescent="0.3">
      <c r="U91" t="str">
        <v>Rabbit</v>
      </c>
      <c r="V91">
        <v>150</v>
      </c>
    </row>
    <row r="92" spans="21:22" x14ac:dyDescent="0.3">
      <c r="U92" t="str">
        <v>Rabbit</v>
      </c>
      <c r="V92">
        <v>100</v>
      </c>
    </row>
    <row r="93" spans="21:22" x14ac:dyDescent="0.3">
      <c r="U93" t="str">
        <v>Dog</v>
      </c>
      <c r="V93">
        <v>100</v>
      </c>
    </row>
    <row r="94" spans="21:22" x14ac:dyDescent="0.3">
      <c r="U94" t="str">
        <v>Rabbit</v>
      </c>
      <c r="V94">
        <v>50</v>
      </c>
    </row>
    <row r="95" spans="21:22" x14ac:dyDescent="0.3">
      <c r="U95" t="str">
        <v>Rabbit</v>
      </c>
      <c r="V95">
        <v>150</v>
      </c>
    </row>
    <row r="96" spans="21:22" x14ac:dyDescent="0.3">
      <c r="U96" t="str">
        <v>Dog</v>
      </c>
      <c r="V96">
        <v>200</v>
      </c>
    </row>
    <row r="97" spans="21:22" x14ac:dyDescent="0.3">
      <c r="U97" t="str">
        <v>Rabbit</v>
      </c>
      <c r="V97">
        <v>50</v>
      </c>
    </row>
    <row r="98" spans="21:22" x14ac:dyDescent="0.3">
      <c r="U98" t="str">
        <v>Guinea Pig</v>
      </c>
      <c r="V98">
        <v>50</v>
      </c>
    </row>
    <row r="99" spans="21:22" x14ac:dyDescent="0.3">
      <c r="U99" t="str">
        <v>Cat</v>
      </c>
      <c r="V99">
        <v>200</v>
      </c>
    </row>
    <row r="100" spans="21:22" x14ac:dyDescent="0.3">
      <c r="U100" t="str">
        <v>Cat</v>
      </c>
      <c r="V100">
        <v>100</v>
      </c>
    </row>
    <row r="101" spans="21:22" x14ac:dyDescent="0.3">
      <c r="U101" t="str">
        <v>Dog</v>
      </c>
      <c r="V101">
        <v>75</v>
      </c>
    </row>
    <row r="102" spans="21:22" x14ac:dyDescent="0.3">
      <c r="U102" t="str">
        <v>Bird</v>
      </c>
      <c r="V102">
        <v>150</v>
      </c>
    </row>
    <row r="103" spans="21:22" x14ac:dyDescent="0.3">
      <c r="U103" t="str">
        <v>Dog</v>
      </c>
      <c r="V103">
        <v>75</v>
      </c>
    </row>
    <row r="104" spans="21:22" x14ac:dyDescent="0.3">
      <c r="U104" t="str">
        <v>Bird</v>
      </c>
      <c r="V104">
        <v>200</v>
      </c>
    </row>
    <row r="105" spans="21:22" x14ac:dyDescent="0.3">
      <c r="U105" t="str">
        <v>Cat</v>
      </c>
      <c r="V105">
        <v>50</v>
      </c>
    </row>
    <row r="106" spans="21:22" x14ac:dyDescent="0.3">
      <c r="U106" t="str">
        <v>Dog</v>
      </c>
      <c r="V106">
        <v>50</v>
      </c>
    </row>
    <row r="107" spans="21:22" x14ac:dyDescent="0.3">
      <c r="U107" t="str">
        <v>Guinea Pig</v>
      </c>
      <c r="V107">
        <v>150</v>
      </c>
    </row>
    <row r="108" spans="21:22" x14ac:dyDescent="0.3">
      <c r="U108" t="str">
        <v>Rabbit</v>
      </c>
      <c r="V108">
        <v>50</v>
      </c>
    </row>
    <row r="109" spans="21:22" x14ac:dyDescent="0.3">
      <c r="U109" t="str">
        <v>Bird</v>
      </c>
      <c r="V109">
        <v>50</v>
      </c>
    </row>
    <row r="110" spans="21:22" x14ac:dyDescent="0.3">
      <c r="U110" t="str">
        <v>Rabbit</v>
      </c>
      <c r="V110">
        <v>150</v>
      </c>
    </row>
    <row r="111" spans="21:22" x14ac:dyDescent="0.3">
      <c r="U111" t="str">
        <v>Rabbit</v>
      </c>
      <c r="V111">
        <v>150</v>
      </c>
    </row>
    <row r="112" spans="21:22" x14ac:dyDescent="0.3">
      <c r="U112" t="str">
        <v>Dog</v>
      </c>
      <c r="V112">
        <v>200</v>
      </c>
    </row>
    <row r="113" spans="21:22" x14ac:dyDescent="0.3">
      <c r="U113" t="str">
        <v>Rabbit</v>
      </c>
      <c r="V113">
        <v>50</v>
      </c>
    </row>
    <row r="114" spans="21:22" x14ac:dyDescent="0.3">
      <c r="U114" t="str">
        <v>Guinea Pig</v>
      </c>
      <c r="V114">
        <v>50</v>
      </c>
    </row>
    <row r="115" spans="21:22" x14ac:dyDescent="0.3">
      <c r="U115" t="str">
        <v>Rabbit</v>
      </c>
      <c r="V115">
        <v>200</v>
      </c>
    </row>
    <row r="116" spans="21:22" x14ac:dyDescent="0.3">
      <c r="U116" t="str">
        <v>Dog</v>
      </c>
      <c r="V116">
        <v>100</v>
      </c>
    </row>
    <row r="117" spans="21:22" x14ac:dyDescent="0.3">
      <c r="U117" t="str">
        <v>Guinea Pig</v>
      </c>
      <c r="V117">
        <v>100</v>
      </c>
    </row>
    <row r="118" spans="21:22" x14ac:dyDescent="0.3">
      <c r="U118" t="str">
        <v>Cat</v>
      </c>
      <c r="V118">
        <v>100</v>
      </c>
    </row>
    <row r="119" spans="21:22" x14ac:dyDescent="0.3">
      <c r="U119" t="str">
        <v>Rabbit</v>
      </c>
      <c r="V119">
        <v>200</v>
      </c>
    </row>
    <row r="120" spans="21:22" x14ac:dyDescent="0.3">
      <c r="U120" t="str">
        <v>Dog</v>
      </c>
      <c r="V120">
        <v>50</v>
      </c>
    </row>
    <row r="121" spans="21:22" x14ac:dyDescent="0.3">
      <c r="U121" t="str">
        <v>Cat</v>
      </c>
      <c r="V121">
        <v>200</v>
      </c>
    </row>
    <row r="122" spans="21:22" x14ac:dyDescent="0.3">
      <c r="U122" t="str">
        <v>Cat</v>
      </c>
      <c r="V122">
        <v>200</v>
      </c>
    </row>
    <row r="123" spans="21:22" x14ac:dyDescent="0.3">
      <c r="U123" t="str">
        <v>Bird</v>
      </c>
      <c r="V123">
        <v>100</v>
      </c>
    </row>
    <row r="124" spans="21:22" x14ac:dyDescent="0.3">
      <c r="U124" t="str">
        <v>Guinea Pig</v>
      </c>
      <c r="V124">
        <v>75</v>
      </c>
    </row>
    <row r="125" spans="21:22" x14ac:dyDescent="0.3">
      <c r="U125" t="str">
        <v>Rabbit</v>
      </c>
      <c r="V125">
        <v>50</v>
      </c>
    </row>
    <row r="126" spans="21:22" x14ac:dyDescent="0.3">
      <c r="U126" t="str">
        <v>Dog</v>
      </c>
      <c r="V126">
        <v>100</v>
      </c>
    </row>
    <row r="127" spans="21:22" x14ac:dyDescent="0.3">
      <c r="U127" t="str">
        <v>Bird</v>
      </c>
      <c r="V127">
        <v>75</v>
      </c>
    </row>
    <row r="128" spans="21:22" x14ac:dyDescent="0.3">
      <c r="U128" t="str">
        <v>Guinea Pig</v>
      </c>
      <c r="V128">
        <v>75</v>
      </c>
    </row>
    <row r="129" spans="21:22" x14ac:dyDescent="0.3">
      <c r="U129" t="str">
        <v>Bird</v>
      </c>
      <c r="V129">
        <v>150</v>
      </c>
    </row>
    <row r="130" spans="21:22" x14ac:dyDescent="0.3">
      <c r="U130" t="str">
        <v>Guinea Pig</v>
      </c>
      <c r="V130">
        <v>50</v>
      </c>
    </row>
    <row r="131" spans="21:22" x14ac:dyDescent="0.3">
      <c r="U131" t="str">
        <v>Guinea Pig</v>
      </c>
      <c r="V131">
        <v>75</v>
      </c>
    </row>
    <row r="132" spans="21:22" x14ac:dyDescent="0.3">
      <c r="U132" t="str">
        <v>Rabbit</v>
      </c>
      <c r="V132">
        <v>100</v>
      </c>
    </row>
    <row r="133" spans="21:22" x14ac:dyDescent="0.3">
      <c r="U133" t="str">
        <v>Guinea Pig</v>
      </c>
      <c r="V133">
        <v>150</v>
      </c>
    </row>
    <row r="134" spans="21:22" x14ac:dyDescent="0.3">
      <c r="U134" t="str">
        <v>Bird</v>
      </c>
      <c r="V134">
        <v>50</v>
      </c>
    </row>
    <row r="135" spans="21:22" x14ac:dyDescent="0.3">
      <c r="U135" t="str">
        <v>Guinea Pig</v>
      </c>
      <c r="V135">
        <v>200</v>
      </c>
    </row>
    <row r="136" spans="21:22" x14ac:dyDescent="0.3">
      <c r="U136" t="str">
        <v>Rabbit</v>
      </c>
      <c r="V136">
        <v>100</v>
      </c>
    </row>
    <row r="137" spans="21:22" x14ac:dyDescent="0.3">
      <c r="U137" t="str">
        <v>Rabbit</v>
      </c>
      <c r="V137">
        <v>75</v>
      </c>
    </row>
    <row r="138" spans="21:22" x14ac:dyDescent="0.3">
      <c r="U138" t="str">
        <v>Bird</v>
      </c>
      <c r="V138">
        <v>75</v>
      </c>
    </row>
    <row r="139" spans="21:22" x14ac:dyDescent="0.3">
      <c r="U139" t="str">
        <v>Cat</v>
      </c>
      <c r="V139">
        <v>100</v>
      </c>
    </row>
    <row r="140" spans="21:22" x14ac:dyDescent="0.3">
      <c r="U140" t="str">
        <v>Cat</v>
      </c>
      <c r="V140">
        <v>75</v>
      </c>
    </row>
    <row r="141" spans="21:22" x14ac:dyDescent="0.3">
      <c r="U141" t="str">
        <v>Guinea Pig</v>
      </c>
      <c r="V141">
        <v>150</v>
      </c>
    </row>
    <row r="142" spans="21:22" x14ac:dyDescent="0.3">
      <c r="U142" t="str">
        <v>Dog</v>
      </c>
      <c r="V142">
        <v>50</v>
      </c>
    </row>
    <row r="143" spans="21:22" x14ac:dyDescent="0.3">
      <c r="U143" t="str">
        <v>Guinea Pig</v>
      </c>
      <c r="V143">
        <v>150</v>
      </c>
    </row>
    <row r="144" spans="21:22" x14ac:dyDescent="0.3">
      <c r="U144" t="str">
        <v>Bird</v>
      </c>
      <c r="V144">
        <v>75</v>
      </c>
    </row>
    <row r="145" spans="21:22" x14ac:dyDescent="0.3">
      <c r="U145" t="str">
        <v>Bird</v>
      </c>
      <c r="V145">
        <v>200</v>
      </c>
    </row>
    <row r="146" spans="21:22" x14ac:dyDescent="0.3">
      <c r="U146" t="str">
        <v>Bird</v>
      </c>
      <c r="V146">
        <v>50</v>
      </c>
    </row>
    <row r="147" spans="21:22" x14ac:dyDescent="0.3">
      <c r="U147" t="str">
        <v>Bird</v>
      </c>
      <c r="V147">
        <v>50</v>
      </c>
    </row>
    <row r="148" spans="21:22" x14ac:dyDescent="0.3">
      <c r="U148" t="str">
        <v>Bird</v>
      </c>
      <c r="V148">
        <v>100</v>
      </c>
    </row>
    <row r="149" spans="21:22" x14ac:dyDescent="0.3">
      <c r="U149" t="str">
        <v>Rabbit</v>
      </c>
      <c r="V149">
        <v>100</v>
      </c>
    </row>
    <row r="150" spans="21:22" x14ac:dyDescent="0.3">
      <c r="U150" t="str">
        <v>Cat</v>
      </c>
      <c r="V150">
        <v>200</v>
      </c>
    </row>
    <row r="151" spans="21:22" x14ac:dyDescent="0.3">
      <c r="U151" t="str">
        <v>Bird</v>
      </c>
      <c r="V151">
        <v>50</v>
      </c>
    </row>
    <row r="152" spans="21:22" x14ac:dyDescent="0.3">
      <c r="U152" t="str">
        <v>Dog</v>
      </c>
      <c r="V152">
        <v>200</v>
      </c>
    </row>
    <row r="153" spans="21:22" x14ac:dyDescent="0.3">
      <c r="U153" t="str">
        <v>Dog</v>
      </c>
      <c r="V153">
        <v>100</v>
      </c>
    </row>
    <row r="154" spans="21:22" x14ac:dyDescent="0.3">
      <c r="U154" t="str">
        <v>Dog</v>
      </c>
      <c r="V154">
        <v>100</v>
      </c>
    </row>
    <row r="155" spans="21:22" x14ac:dyDescent="0.3">
      <c r="U155" t="str">
        <v>Dog</v>
      </c>
      <c r="V155">
        <v>50</v>
      </c>
    </row>
    <row r="156" spans="21:22" x14ac:dyDescent="0.3">
      <c r="U156" t="str">
        <v>Rabbit</v>
      </c>
      <c r="V156">
        <v>150</v>
      </c>
    </row>
    <row r="157" spans="21:22" x14ac:dyDescent="0.3">
      <c r="U157" t="str">
        <v>Dog</v>
      </c>
      <c r="V157">
        <v>75</v>
      </c>
    </row>
    <row r="158" spans="21:22" x14ac:dyDescent="0.3">
      <c r="U158" t="str">
        <v>Bird</v>
      </c>
      <c r="V158">
        <v>100</v>
      </c>
    </row>
    <row r="159" spans="21:22" x14ac:dyDescent="0.3">
      <c r="U159" t="str">
        <v>Guinea Pig</v>
      </c>
      <c r="V159">
        <v>100</v>
      </c>
    </row>
    <row r="160" spans="21:22" x14ac:dyDescent="0.3">
      <c r="U160" t="str">
        <v>Dog</v>
      </c>
      <c r="V160">
        <v>150</v>
      </c>
    </row>
    <row r="161" spans="21:22" x14ac:dyDescent="0.3">
      <c r="U161" t="str">
        <v>Rabbit</v>
      </c>
      <c r="V161">
        <v>150</v>
      </c>
    </row>
    <row r="162" spans="21:22" x14ac:dyDescent="0.3">
      <c r="U162" t="str">
        <v>Rabbit</v>
      </c>
      <c r="V162">
        <v>200</v>
      </c>
    </row>
    <row r="163" spans="21:22" x14ac:dyDescent="0.3">
      <c r="U163" t="str">
        <v>Dog</v>
      </c>
      <c r="V163">
        <v>200</v>
      </c>
    </row>
    <row r="164" spans="21:22" x14ac:dyDescent="0.3">
      <c r="U164" t="str">
        <v>Guinea Pig</v>
      </c>
      <c r="V164">
        <v>75</v>
      </c>
    </row>
    <row r="165" spans="21:22" x14ac:dyDescent="0.3">
      <c r="U165" t="str">
        <v>Dog</v>
      </c>
      <c r="V165">
        <v>75</v>
      </c>
    </row>
    <row r="166" spans="21:22" x14ac:dyDescent="0.3">
      <c r="U166" t="str">
        <v>Rabbit</v>
      </c>
      <c r="V166">
        <v>50</v>
      </c>
    </row>
    <row r="167" spans="21:22" x14ac:dyDescent="0.3">
      <c r="U167" t="str">
        <v>Cat</v>
      </c>
      <c r="V167">
        <v>200</v>
      </c>
    </row>
    <row r="168" spans="21:22" x14ac:dyDescent="0.3">
      <c r="U168" t="str">
        <v>Bird</v>
      </c>
      <c r="V168">
        <v>100</v>
      </c>
    </row>
    <row r="169" spans="21:22" x14ac:dyDescent="0.3">
      <c r="U169" t="str">
        <v>Rabbit</v>
      </c>
      <c r="V169">
        <v>200</v>
      </c>
    </row>
    <row r="170" spans="21:22" x14ac:dyDescent="0.3">
      <c r="U170" t="str">
        <v>Dog</v>
      </c>
      <c r="V170">
        <v>100</v>
      </c>
    </row>
    <row r="171" spans="21:22" x14ac:dyDescent="0.3">
      <c r="U171" t="str">
        <v>Bird</v>
      </c>
      <c r="V171">
        <v>150</v>
      </c>
    </row>
    <row r="172" spans="21:22" x14ac:dyDescent="0.3">
      <c r="U172" t="str">
        <v>Dog</v>
      </c>
      <c r="V172">
        <v>200</v>
      </c>
    </row>
    <row r="173" spans="21:22" x14ac:dyDescent="0.3">
      <c r="U173" t="str">
        <v>Dog</v>
      </c>
      <c r="V173">
        <v>150</v>
      </c>
    </row>
    <row r="174" spans="21:22" x14ac:dyDescent="0.3">
      <c r="U174" t="str">
        <v>Cat</v>
      </c>
      <c r="V174">
        <v>75</v>
      </c>
    </row>
    <row r="175" spans="21:22" x14ac:dyDescent="0.3">
      <c r="U175" t="str">
        <v>Bird</v>
      </c>
      <c r="V175">
        <v>75</v>
      </c>
    </row>
    <row r="176" spans="21:22" x14ac:dyDescent="0.3">
      <c r="U176" t="str">
        <v>Bird</v>
      </c>
      <c r="V176">
        <v>50</v>
      </c>
    </row>
    <row r="177" spans="21:22" x14ac:dyDescent="0.3">
      <c r="U177" t="str">
        <v>Cat</v>
      </c>
      <c r="V177">
        <v>200</v>
      </c>
    </row>
    <row r="178" spans="21:22" x14ac:dyDescent="0.3">
      <c r="U178" t="str">
        <v>Rabbit</v>
      </c>
      <c r="V178">
        <v>150</v>
      </c>
    </row>
    <row r="179" spans="21:22" x14ac:dyDescent="0.3">
      <c r="U179" t="str">
        <v>Dog</v>
      </c>
      <c r="V179">
        <v>100</v>
      </c>
    </row>
    <row r="180" spans="21:22" x14ac:dyDescent="0.3">
      <c r="U180" t="str">
        <v>Guinea Pig</v>
      </c>
      <c r="V180">
        <v>75</v>
      </c>
    </row>
    <row r="181" spans="21:22" x14ac:dyDescent="0.3">
      <c r="U181" t="str">
        <v>Dog</v>
      </c>
      <c r="V181">
        <v>75</v>
      </c>
    </row>
    <row r="182" spans="21:22" x14ac:dyDescent="0.3">
      <c r="U182" t="str">
        <v>Dog</v>
      </c>
      <c r="V182">
        <v>100</v>
      </c>
    </row>
    <row r="183" spans="21:22" x14ac:dyDescent="0.3">
      <c r="U183" t="str">
        <v>Rabbit</v>
      </c>
      <c r="V183">
        <v>150</v>
      </c>
    </row>
    <row r="184" spans="21:22" x14ac:dyDescent="0.3">
      <c r="U184" t="str">
        <v>Dog</v>
      </c>
      <c r="V184">
        <v>150</v>
      </c>
    </row>
    <row r="185" spans="21:22" x14ac:dyDescent="0.3">
      <c r="U185" t="str">
        <v>Cat</v>
      </c>
      <c r="V185">
        <v>200</v>
      </c>
    </row>
    <row r="186" spans="21:22" x14ac:dyDescent="0.3">
      <c r="U186" t="str">
        <v>Cat</v>
      </c>
      <c r="V186">
        <v>200</v>
      </c>
    </row>
    <row r="187" spans="21:22" x14ac:dyDescent="0.3">
      <c r="U187" t="str">
        <v>Bird</v>
      </c>
      <c r="V187">
        <v>50</v>
      </c>
    </row>
    <row r="188" spans="21:22" x14ac:dyDescent="0.3">
      <c r="U188" t="str">
        <v>Guinea Pig</v>
      </c>
      <c r="V188">
        <v>75</v>
      </c>
    </row>
    <row r="189" spans="21:22" x14ac:dyDescent="0.3">
      <c r="U189" t="str">
        <v>Dog</v>
      </c>
      <c r="V189">
        <v>200</v>
      </c>
    </row>
    <row r="190" spans="21:22" x14ac:dyDescent="0.3">
      <c r="U190" t="str">
        <v>Dog</v>
      </c>
      <c r="V190">
        <v>150</v>
      </c>
    </row>
    <row r="191" spans="21:22" x14ac:dyDescent="0.3">
      <c r="U191" t="str">
        <v>Rabbit</v>
      </c>
      <c r="V191">
        <v>100</v>
      </c>
    </row>
    <row r="192" spans="21:22" x14ac:dyDescent="0.3">
      <c r="U192" t="str">
        <v>Cat</v>
      </c>
      <c r="V192">
        <v>150</v>
      </c>
    </row>
    <row r="193" spans="21:22" x14ac:dyDescent="0.3">
      <c r="U193" t="str">
        <v>Guinea Pig</v>
      </c>
      <c r="V193">
        <v>75</v>
      </c>
    </row>
    <row r="194" spans="21:22" x14ac:dyDescent="0.3">
      <c r="U194" t="str">
        <v>Bird</v>
      </c>
      <c r="V194">
        <v>150</v>
      </c>
    </row>
    <row r="195" spans="21:22" x14ac:dyDescent="0.3">
      <c r="U195" t="str">
        <v>Cat</v>
      </c>
      <c r="V195">
        <v>50</v>
      </c>
    </row>
    <row r="196" spans="21:22" x14ac:dyDescent="0.3">
      <c r="U196" t="str">
        <v>Bird</v>
      </c>
      <c r="V196">
        <v>75</v>
      </c>
    </row>
    <row r="197" spans="21:22" x14ac:dyDescent="0.3">
      <c r="U197" t="str">
        <v>Rabbit</v>
      </c>
      <c r="V197">
        <v>100</v>
      </c>
    </row>
    <row r="198" spans="21:22" x14ac:dyDescent="0.3">
      <c r="U198" t="str">
        <v>Rabbit</v>
      </c>
      <c r="V198">
        <v>50</v>
      </c>
    </row>
    <row r="199" spans="21:22" x14ac:dyDescent="0.3">
      <c r="U199" t="str">
        <v>Dog</v>
      </c>
      <c r="V199">
        <v>75</v>
      </c>
    </row>
    <row r="200" spans="21:22" x14ac:dyDescent="0.3">
      <c r="U200" t="str">
        <v>Guinea Pig</v>
      </c>
      <c r="V200">
        <v>100</v>
      </c>
    </row>
    <row r="201" spans="21:22" x14ac:dyDescent="0.3">
      <c r="U201" t="str">
        <v>Bird</v>
      </c>
      <c r="V201">
        <v>50</v>
      </c>
    </row>
    <row r="202" spans="21:22" x14ac:dyDescent="0.3">
      <c r="U202" t="str">
        <v>Cat</v>
      </c>
      <c r="V202">
        <v>50</v>
      </c>
    </row>
    <row r="203" spans="21:22" x14ac:dyDescent="0.3">
      <c r="U203" t="str">
        <v>Rabbit</v>
      </c>
      <c r="V203">
        <v>75</v>
      </c>
    </row>
    <row r="204" spans="21:22" x14ac:dyDescent="0.3">
      <c r="U204" t="str">
        <v>Dog</v>
      </c>
      <c r="V204">
        <v>200</v>
      </c>
    </row>
    <row r="205" spans="21:22" x14ac:dyDescent="0.3">
      <c r="U205" t="str">
        <v>Dog</v>
      </c>
      <c r="V205">
        <v>50</v>
      </c>
    </row>
    <row r="206" spans="21:22" x14ac:dyDescent="0.3">
      <c r="U206" t="str">
        <v>Bird</v>
      </c>
      <c r="V206">
        <v>50</v>
      </c>
    </row>
    <row r="207" spans="21:22" x14ac:dyDescent="0.3">
      <c r="U207" t="str">
        <v>Rabbit</v>
      </c>
      <c r="V207">
        <v>100</v>
      </c>
    </row>
    <row r="208" spans="21:22" x14ac:dyDescent="0.3">
      <c r="U208" t="str">
        <v>Guinea Pig</v>
      </c>
      <c r="V208">
        <v>150</v>
      </c>
    </row>
    <row r="209" spans="21:22" x14ac:dyDescent="0.3">
      <c r="U209" t="str">
        <v>Rabbit</v>
      </c>
      <c r="V209">
        <v>75</v>
      </c>
    </row>
    <row r="210" spans="21:22" x14ac:dyDescent="0.3">
      <c r="U210" t="str">
        <v>Bird</v>
      </c>
      <c r="V210">
        <v>75</v>
      </c>
    </row>
    <row r="211" spans="21:22" x14ac:dyDescent="0.3">
      <c r="U211" t="str">
        <v>Bird</v>
      </c>
      <c r="V211">
        <v>200</v>
      </c>
    </row>
    <row r="212" spans="21:22" x14ac:dyDescent="0.3">
      <c r="U212" t="str">
        <v>Rabbit</v>
      </c>
      <c r="V212">
        <v>200</v>
      </c>
    </row>
    <row r="213" spans="21:22" x14ac:dyDescent="0.3">
      <c r="U213" t="str">
        <v>Bird</v>
      </c>
      <c r="V213">
        <v>75</v>
      </c>
    </row>
    <row r="214" spans="21:22" x14ac:dyDescent="0.3">
      <c r="U214" t="str">
        <v>Rabbit</v>
      </c>
      <c r="V214">
        <v>200</v>
      </c>
    </row>
    <row r="215" spans="21:22" x14ac:dyDescent="0.3">
      <c r="U215" t="str">
        <v>Cat</v>
      </c>
      <c r="V215">
        <v>100</v>
      </c>
    </row>
    <row r="216" spans="21:22" x14ac:dyDescent="0.3">
      <c r="U216" t="str">
        <v>Rabbit</v>
      </c>
      <c r="V216">
        <v>75</v>
      </c>
    </row>
    <row r="217" spans="21:22" x14ac:dyDescent="0.3">
      <c r="U217" t="str">
        <v>Rabbit</v>
      </c>
      <c r="V217">
        <v>200</v>
      </c>
    </row>
    <row r="218" spans="21:22" x14ac:dyDescent="0.3">
      <c r="U218" t="str">
        <v>Bird</v>
      </c>
      <c r="V218">
        <v>75</v>
      </c>
    </row>
    <row r="219" spans="21:22" x14ac:dyDescent="0.3">
      <c r="U219" t="str">
        <v>Bird</v>
      </c>
      <c r="V219">
        <v>150</v>
      </c>
    </row>
    <row r="220" spans="21:22" x14ac:dyDescent="0.3">
      <c r="U220" t="str">
        <v>Dog</v>
      </c>
      <c r="V220">
        <v>50</v>
      </c>
    </row>
    <row r="221" spans="21:22" x14ac:dyDescent="0.3">
      <c r="U221" t="str">
        <v>Dog</v>
      </c>
      <c r="V221">
        <v>75</v>
      </c>
    </row>
    <row r="222" spans="21:22" x14ac:dyDescent="0.3">
      <c r="U222" t="str">
        <v>Cat</v>
      </c>
      <c r="V222">
        <v>50</v>
      </c>
    </row>
    <row r="223" spans="21:22" x14ac:dyDescent="0.3">
      <c r="U223" t="str">
        <v>Dog</v>
      </c>
      <c r="V223">
        <v>200</v>
      </c>
    </row>
    <row r="224" spans="21:22" x14ac:dyDescent="0.3">
      <c r="U224" t="str">
        <v>Rabbit</v>
      </c>
      <c r="V224">
        <v>50</v>
      </c>
    </row>
    <row r="225" spans="21:22" x14ac:dyDescent="0.3">
      <c r="U225" t="str">
        <v>Bird</v>
      </c>
      <c r="V225">
        <v>75</v>
      </c>
    </row>
    <row r="226" spans="21:22" x14ac:dyDescent="0.3">
      <c r="U226" t="str">
        <v>Dog</v>
      </c>
      <c r="V226">
        <v>150</v>
      </c>
    </row>
    <row r="227" spans="21:22" x14ac:dyDescent="0.3">
      <c r="U227" t="str">
        <v>Dog</v>
      </c>
      <c r="V227">
        <v>200</v>
      </c>
    </row>
    <row r="228" spans="21:22" x14ac:dyDescent="0.3">
      <c r="U228" t="str">
        <v>Cat</v>
      </c>
      <c r="V228">
        <v>75</v>
      </c>
    </row>
    <row r="229" spans="21:22" x14ac:dyDescent="0.3">
      <c r="U229" t="str">
        <v>Cat</v>
      </c>
      <c r="V229">
        <v>200</v>
      </c>
    </row>
    <row r="230" spans="21:22" x14ac:dyDescent="0.3">
      <c r="U230" t="str">
        <v>Rabbit</v>
      </c>
      <c r="V230">
        <v>100</v>
      </c>
    </row>
    <row r="231" spans="21:22" x14ac:dyDescent="0.3">
      <c r="U231" t="str">
        <v>Bird</v>
      </c>
      <c r="V231">
        <v>50</v>
      </c>
    </row>
    <row r="232" spans="21:22" x14ac:dyDescent="0.3">
      <c r="U232" t="str">
        <v>Cat</v>
      </c>
      <c r="V232">
        <v>100</v>
      </c>
    </row>
    <row r="233" spans="21:22" x14ac:dyDescent="0.3">
      <c r="U233" t="str">
        <v>Dog</v>
      </c>
      <c r="V233">
        <v>75</v>
      </c>
    </row>
    <row r="234" spans="21:22" x14ac:dyDescent="0.3">
      <c r="U234" t="str">
        <v>Bird</v>
      </c>
      <c r="V234">
        <v>150</v>
      </c>
    </row>
    <row r="235" spans="21:22" x14ac:dyDescent="0.3">
      <c r="U235" t="str">
        <v>Bird</v>
      </c>
      <c r="V235">
        <v>200</v>
      </c>
    </row>
    <row r="236" spans="21:22" x14ac:dyDescent="0.3">
      <c r="U236" t="str">
        <v>Dog</v>
      </c>
      <c r="V236">
        <v>50</v>
      </c>
    </row>
    <row r="237" spans="21:22" x14ac:dyDescent="0.3">
      <c r="U237" t="str">
        <v>Cat</v>
      </c>
      <c r="V237">
        <v>200</v>
      </c>
    </row>
    <row r="238" spans="21:22" x14ac:dyDescent="0.3">
      <c r="U238" t="str">
        <v>Dog</v>
      </c>
      <c r="V238">
        <v>75</v>
      </c>
    </row>
    <row r="239" spans="21:22" x14ac:dyDescent="0.3">
      <c r="U239" t="str">
        <v>Bird</v>
      </c>
      <c r="V239">
        <v>200</v>
      </c>
    </row>
    <row r="240" spans="21:22" x14ac:dyDescent="0.3">
      <c r="U240" t="str">
        <v>Guinea Pig</v>
      </c>
      <c r="V240">
        <v>50</v>
      </c>
    </row>
    <row r="241" spans="21:22" x14ac:dyDescent="0.3">
      <c r="U241" t="str">
        <v>Guinea Pig</v>
      </c>
      <c r="V241">
        <v>75</v>
      </c>
    </row>
    <row r="242" spans="21:22" x14ac:dyDescent="0.3">
      <c r="U242" t="str">
        <v>Rabbit</v>
      </c>
      <c r="V242">
        <v>200</v>
      </c>
    </row>
    <row r="243" spans="21:22" x14ac:dyDescent="0.3">
      <c r="U243" t="str">
        <v>Dog</v>
      </c>
      <c r="V243">
        <v>150</v>
      </c>
    </row>
    <row r="244" spans="21:22" x14ac:dyDescent="0.3">
      <c r="U244" t="str">
        <v>Dog</v>
      </c>
      <c r="V244">
        <v>75</v>
      </c>
    </row>
    <row r="245" spans="21:22" x14ac:dyDescent="0.3">
      <c r="U245" t="str">
        <v>Rabbit</v>
      </c>
      <c r="V245">
        <v>75</v>
      </c>
    </row>
    <row r="246" spans="21:22" x14ac:dyDescent="0.3">
      <c r="U246" t="str">
        <v>Rabbit</v>
      </c>
      <c r="V246">
        <v>150</v>
      </c>
    </row>
    <row r="247" spans="21:22" x14ac:dyDescent="0.3">
      <c r="U247" t="str">
        <v>Rabbit</v>
      </c>
      <c r="V247">
        <v>100</v>
      </c>
    </row>
    <row r="248" spans="21:22" x14ac:dyDescent="0.3">
      <c r="U248" t="str">
        <v>Bird</v>
      </c>
      <c r="V248">
        <v>50</v>
      </c>
    </row>
    <row r="249" spans="21:22" x14ac:dyDescent="0.3">
      <c r="U249" t="str">
        <v>Dog</v>
      </c>
      <c r="V249">
        <v>100</v>
      </c>
    </row>
    <row r="250" spans="21:22" x14ac:dyDescent="0.3">
      <c r="U250" t="str">
        <v>Bird</v>
      </c>
      <c r="V250">
        <v>200</v>
      </c>
    </row>
    <row r="251" spans="21:22" x14ac:dyDescent="0.3">
      <c r="U251" t="str">
        <v>Rabbit</v>
      </c>
      <c r="V251">
        <v>150</v>
      </c>
    </row>
    <row r="252" spans="21:22" x14ac:dyDescent="0.3">
      <c r="U252" t="str">
        <v>Dog</v>
      </c>
      <c r="V252">
        <v>100</v>
      </c>
    </row>
    <row r="253" spans="21:22" x14ac:dyDescent="0.3">
      <c r="U253" t="str">
        <v>Bird</v>
      </c>
      <c r="V253">
        <v>75</v>
      </c>
    </row>
    <row r="254" spans="21:22" x14ac:dyDescent="0.3">
      <c r="U254" t="str">
        <v>Bird</v>
      </c>
      <c r="V254">
        <v>200</v>
      </c>
    </row>
    <row r="255" spans="21:22" x14ac:dyDescent="0.3">
      <c r="U255" t="str">
        <v>Rabbit</v>
      </c>
      <c r="V255">
        <v>200</v>
      </c>
    </row>
    <row r="256" spans="21:22" x14ac:dyDescent="0.3">
      <c r="U256" t="str">
        <v>Dog</v>
      </c>
      <c r="V256">
        <v>100</v>
      </c>
    </row>
    <row r="257" spans="21:22" x14ac:dyDescent="0.3">
      <c r="U257" t="str">
        <v>Rabbit</v>
      </c>
      <c r="V257">
        <v>100</v>
      </c>
    </row>
    <row r="258" spans="21:22" x14ac:dyDescent="0.3">
      <c r="U258" t="str">
        <v>Dog</v>
      </c>
      <c r="V258">
        <v>150</v>
      </c>
    </row>
    <row r="259" spans="21:22" x14ac:dyDescent="0.3">
      <c r="U259" t="str">
        <v>Guinea Pig</v>
      </c>
      <c r="V259">
        <v>50</v>
      </c>
    </row>
    <row r="260" spans="21:22" x14ac:dyDescent="0.3">
      <c r="U260" t="str">
        <v>Cat</v>
      </c>
      <c r="V260">
        <v>100</v>
      </c>
    </row>
    <row r="261" spans="21:22" x14ac:dyDescent="0.3">
      <c r="U261" t="str">
        <v>Cat</v>
      </c>
      <c r="V261">
        <v>100</v>
      </c>
    </row>
    <row r="262" spans="21:22" x14ac:dyDescent="0.3">
      <c r="U262" t="str">
        <v>Cat</v>
      </c>
      <c r="V262">
        <v>75</v>
      </c>
    </row>
    <row r="263" spans="21:22" x14ac:dyDescent="0.3">
      <c r="U263" t="str">
        <v>Rabbit</v>
      </c>
      <c r="V263">
        <v>200</v>
      </c>
    </row>
    <row r="264" spans="21:22" x14ac:dyDescent="0.3">
      <c r="U264" t="str">
        <v>Guinea Pig</v>
      </c>
      <c r="V264">
        <v>50</v>
      </c>
    </row>
    <row r="265" spans="21:22" x14ac:dyDescent="0.3">
      <c r="U265" t="str">
        <v>Dog</v>
      </c>
      <c r="V265">
        <v>75</v>
      </c>
    </row>
    <row r="266" spans="21:22" x14ac:dyDescent="0.3">
      <c r="U266" t="str">
        <v>Bird</v>
      </c>
      <c r="V266">
        <v>150</v>
      </c>
    </row>
    <row r="267" spans="21:22" x14ac:dyDescent="0.3">
      <c r="U267" t="str">
        <v>Dog</v>
      </c>
      <c r="V267">
        <v>150</v>
      </c>
    </row>
    <row r="268" spans="21:22" x14ac:dyDescent="0.3">
      <c r="U268" t="str">
        <v>Bird</v>
      </c>
      <c r="V268">
        <v>100</v>
      </c>
    </row>
    <row r="269" spans="21:22" x14ac:dyDescent="0.3">
      <c r="U269" t="str">
        <v>Dog</v>
      </c>
      <c r="V269">
        <v>100</v>
      </c>
    </row>
    <row r="270" spans="21:22" x14ac:dyDescent="0.3">
      <c r="U270" t="str">
        <v>Guinea Pig</v>
      </c>
      <c r="V270">
        <v>150</v>
      </c>
    </row>
    <row r="271" spans="21:22" x14ac:dyDescent="0.3">
      <c r="U271" t="str">
        <v>Bird</v>
      </c>
      <c r="V271">
        <v>100</v>
      </c>
    </row>
    <row r="272" spans="21:22" x14ac:dyDescent="0.3">
      <c r="U272" t="str">
        <v>Rabbit</v>
      </c>
      <c r="V272">
        <v>50</v>
      </c>
    </row>
    <row r="273" spans="21:22" x14ac:dyDescent="0.3">
      <c r="U273" t="str">
        <v>Dog</v>
      </c>
      <c r="V273">
        <v>100</v>
      </c>
    </row>
    <row r="274" spans="21:22" x14ac:dyDescent="0.3">
      <c r="U274" t="str">
        <v>Dog</v>
      </c>
      <c r="V274">
        <v>200</v>
      </c>
    </row>
    <row r="275" spans="21:22" x14ac:dyDescent="0.3">
      <c r="U275" t="str">
        <v>Bird</v>
      </c>
      <c r="V275">
        <v>100</v>
      </c>
    </row>
    <row r="276" spans="21:22" x14ac:dyDescent="0.3">
      <c r="U276" t="str">
        <v>Rabbit</v>
      </c>
      <c r="V276">
        <v>75</v>
      </c>
    </row>
    <row r="277" spans="21:22" x14ac:dyDescent="0.3">
      <c r="U277" t="str">
        <v>Rabbit</v>
      </c>
      <c r="V277">
        <v>50</v>
      </c>
    </row>
    <row r="278" spans="21:22" x14ac:dyDescent="0.3">
      <c r="U278" t="str">
        <v>Guinea Pig</v>
      </c>
      <c r="V278">
        <v>75</v>
      </c>
    </row>
    <row r="279" spans="21:22" x14ac:dyDescent="0.3">
      <c r="U279" t="str">
        <v>Rabbit</v>
      </c>
      <c r="V279">
        <v>75</v>
      </c>
    </row>
    <row r="280" spans="21:22" x14ac:dyDescent="0.3">
      <c r="U280" t="str">
        <v>Rabbit</v>
      </c>
      <c r="V280">
        <v>200</v>
      </c>
    </row>
    <row r="281" spans="21:22" x14ac:dyDescent="0.3">
      <c r="U281" t="str">
        <v>Rabbit</v>
      </c>
      <c r="V281">
        <v>50</v>
      </c>
    </row>
    <row r="282" spans="21:22" x14ac:dyDescent="0.3">
      <c r="U282" t="str">
        <v>Cat</v>
      </c>
      <c r="V282">
        <v>50</v>
      </c>
    </row>
    <row r="283" spans="21:22" x14ac:dyDescent="0.3">
      <c r="U283" t="str">
        <v>Guinea Pig</v>
      </c>
      <c r="V283">
        <v>50</v>
      </c>
    </row>
    <row r="284" spans="21:22" x14ac:dyDescent="0.3">
      <c r="U284" t="str">
        <v>Dog</v>
      </c>
      <c r="V284">
        <v>50</v>
      </c>
    </row>
    <row r="285" spans="21:22" x14ac:dyDescent="0.3">
      <c r="U285" t="str">
        <v>Bird</v>
      </c>
      <c r="V285">
        <v>50</v>
      </c>
    </row>
    <row r="286" spans="21:22" x14ac:dyDescent="0.3">
      <c r="U286" t="str">
        <v>Dog</v>
      </c>
      <c r="V286">
        <v>200</v>
      </c>
    </row>
    <row r="287" spans="21:22" x14ac:dyDescent="0.3">
      <c r="U287" t="str">
        <v>Guinea Pig</v>
      </c>
      <c r="V287">
        <v>100</v>
      </c>
    </row>
    <row r="288" spans="21:22" x14ac:dyDescent="0.3">
      <c r="U288" t="str">
        <v>Bird</v>
      </c>
      <c r="V288">
        <v>75</v>
      </c>
    </row>
    <row r="289" spans="21:22" x14ac:dyDescent="0.3">
      <c r="U289" t="str">
        <v>Guinea Pig</v>
      </c>
      <c r="V289">
        <v>50</v>
      </c>
    </row>
    <row r="290" spans="21:22" x14ac:dyDescent="0.3">
      <c r="U290" t="str">
        <v>Rabbit</v>
      </c>
      <c r="V290">
        <v>100</v>
      </c>
    </row>
    <row r="291" spans="21:22" x14ac:dyDescent="0.3">
      <c r="U291" t="str">
        <v>Bird</v>
      </c>
      <c r="V291">
        <v>100</v>
      </c>
    </row>
    <row r="292" spans="21:22" x14ac:dyDescent="0.3">
      <c r="U292" t="str">
        <v>Rabbit</v>
      </c>
      <c r="V292">
        <v>75</v>
      </c>
    </row>
    <row r="293" spans="21:22" x14ac:dyDescent="0.3">
      <c r="U293" t="str">
        <v>Dog</v>
      </c>
      <c r="V293">
        <v>200</v>
      </c>
    </row>
    <row r="294" spans="21:22" x14ac:dyDescent="0.3">
      <c r="U294" t="str">
        <v>Dog</v>
      </c>
      <c r="V294">
        <v>150</v>
      </c>
    </row>
    <row r="295" spans="21:22" x14ac:dyDescent="0.3">
      <c r="U295" t="str">
        <v>Bird</v>
      </c>
      <c r="V295">
        <v>150</v>
      </c>
    </row>
    <row r="296" spans="21:22" x14ac:dyDescent="0.3">
      <c r="U296" t="str">
        <v>Bird</v>
      </c>
      <c r="V296">
        <v>100</v>
      </c>
    </row>
    <row r="297" spans="21:22" x14ac:dyDescent="0.3">
      <c r="U297" t="str">
        <v>Guinea Pig</v>
      </c>
      <c r="V297">
        <v>75</v>
      </c>
    </row>
    <row r="298" spans="21:22" x14ac:dyDescent="0.3">
      <c r="U298" t="str">
        <v>Guinea Pig</v>
      </c>
      <c r="V298">
        <v>150</v>
      </c>
    </row>
    <row r="299" spans="21:22" x14ac:dyDescent="0.3">
      <c r="U299" t="str">
        <v>Rabbit</v>
      </c>
      <c r="V299">
        <v>100</v>
      </c>
    </row>
    <row r="300" spans="21:22" x14ac:dyDescent="0.3">
      <c r="U300" t="str">
        <v>Bird</v>
      </c>
      <c r="V300">
        <v>200</v>
      </c>
    </row>
    <row r="301" spans="21:22" x14ac:dyDescent="0.3">
      <c r="U301" t="str">
        <v>Dog</v>
      </c>
      <c r="V301">
        <v>150</v>
      </c>
    </row>
    <row r="302" spans="21:22" x14ac:dyDescent="0.3">
      <c r="U302" t="str">
        <v>Guinea Pig</v>
      </c>
      <c r="V302">
        <v>100</v>
      </c>
    </row>
    <row r="303" spans="21:22" x14ac:dyDescent="0.3">
      <c r="U303" t="str">
        <v>Guinea Pig</v>
      </c>
      <c r="V303">
        <v>100</v>
      </c>
    </row>
    <row r="304" spans="21:22" x14ac:dyDescent="0.3">
      <c r="U304" t="str">
        <v>Dog</v>
      </c>
      <c r="V304">
        <v>50</v>
      </c>
    </row>
    <row r="305" spans="21:22" x14ac:dyDescent="0.3">
      <c r="U305" t="str">
        <v>Guinea Pig</v>
      </c>
      <c r="V305">
        <v>200</v>
      </c>
    </row>
    <row r="306" spans="21:22" x14ac:dyDescent="0.3">
      <c r="U306" t="str">
        <v>Rabbit</v>
      </c>
      <c r="V306">
        <v>50</v>
      </c>
    </row>
    <row r="307" spans="21:22" x14ac:dyDescent="0.3">
      <c r="U307" t="str">
        <v>Bird</v>
      </c>
      <c r="V307">
        <v>75</v>
      </c>
    </row>
    <row r="308" spans="21:22" x14ac:dyDescent="0.3">
      <c r="U308" t="str">
        <v>Dog</v>
      </c>
      <c r="V308">
        <v>50</v>
      </c>
    </row>
    <row r="309" spans="21:22" x14ac:dyDescent="0.3">
      <c r="U309" t="str">
        <v>Bird</v>
      </c>
      <c r="V309">
        <v>50</v>
      </c>
    </row>
    <row r="310" spans="21:22" x14ac:dyDescent="0.3">
      <c r="U310" t="str">
        <v>Guinea Pig</v>
      </c>
      <c r="V310">
        <v>150</v>
      </c>
    </row>
    <row r="311" spans="21:22" x14ac:dyDescent="0.3">
      <c r="U311" t="str">
        <v>Guinea Pig</v>
      </c>
      <c r="V311">
        <v>100</v>
      </c>
    </row>
    <row r="312" spans="21:22" x14ac:dyDescent="0.3">
      <c r="U312" t="str">
        <v>Dog</v>
      </c>
      <c r="V312">
        <v>200</v>
      </c>
    </row>
    <row r="313" spans="21:22" x14ac:dyDescent="0.3">
      <c r="U313" t="str">
        <v>Rabbit</v>
      </c>
      <c r="V313">
        <v>50</v>
      </c>
    </row>
    <row r="314" spans="21:22" x14ac:dyDescent="0.3">
      <c r="U314" t="str">
        <v>Cat</v>
      </c>
      <c r="V314">
        <v>200</v>
      </c>
    </row>
    <row r="315" spans="21:22" x14ac:dyDescent="0.3">
      <c r="U315" t="str">
        <v>Dog</v>
      </c>
      <c r="V315">
        <v>50</v>
      </c>
    </row>
    <row r="316" spans="21:22" x14ac:dyDescent="0.3">
      <c r="U316" t="str">
        <v>Cat</v>
      </c>
      <c r="V316">
        <v>75</v>
      </c>
    </row>
    <row r="317" spans="21:22" x14ac:dyDescent="0.3">
      <c r="U317" t="str">
        <v>Cat</v>
      </c>
      <c r="V317">
        <v>50</v>
      </c>
    </row>
    <row r="318" spans="21:22" x14ac:dyDescent="0.3">
      <c r="U318" t="str">
        <v>Rabbit</v>
      </c>
      <c r="V318">
        <v>150</v>
      </c>
    </row>
    <row r="319" spans="21:22" x14ac:dyDescent="0.3">
      <c r="U319" t="str">
        <v>Cat</v>
      </c>
      <c r="V319">
        <v>100</v>
      </c>
    </row>
    <row r="320" spans="21:22" x14ac:dyDescent="0.3">
      <c r="U320" t="str">
        <v>Cat</v>
      </c>
      <c r="V320">
        <v>75</v>
      </c>
    </row>
    <row r="321" spans="21:22" x14ac:dyDescent="0.3">
      <c r="U321" t="str">
        <v>Rabbit</v>
      </c>
      <c r="V321">
        <v>50</v>
      </c>
    </row>
    <row r="322" spans="21:22" x14ac:dyDescent="0.3">
      <c r="U322" t="str">
        <v>Cat</v>
      </c>
      <c r="V322">
        <v>200</v>
      </c>
    </row>
    <row r="323" spans="21:22" x14ac:dyDescent="0.3">
      <c r="U323" t="str">
        <v>Cat</v>
      </c>
      <c r="V323">
        <v>75</v>
      </c>
    </row>
    <row r="324" spans="21:22" x14ac:dyDescent="0.3">
      <c r="U324" t="str">
        <v>Cat</v>
      </c>
      <c r="V324">
        <v>75</v>
      </c>
    </row>
    <row r="325" spans="21:22" x14ac:dyDescent="0.3">
      <c r="U325" t="str">
        <v>Dog</v>
      </c>
      <c r="V325">
        <v>50</v>
      </c>
    </row>
    <row r="326" spans="21:22" x14ac:dyDescent="0.3">
      <c r="U326" t="str">
        <v>Dog</v>
      </c>
      <c r="V326">
        <v>75</v>
      </c>
    </row>
    <row r="327" spans="21:22" x14ac:dyDescent="0.3">
      <c r="U327" t="str">
        <v>Dog</v>
      </c>
      <c r="V327">
        <v>200</v>
      </c>
    </row>
    <row r="328" spans="21:22" x14ac:dyDescent="0.3">
      <c r="U328" t="str">
        <v>Rabbit</v>
      </c>
      <c r="V328">
        <v>75</v>
      </c>
    </row>
    <row r="329" spans="21:22" x14ac:dyDescent="0.3">
      <c r="U329" t="str">
        <v>Guinea Pig</v>
      </c>
      <c r="V329">
        <v>200</v>
      </c>
    </row>
    <row r="330" spans="21:22" x14ac:dyDescent="0.3">
      <c r="U330" t="str">
        <v>Cat</v>
      </c>
      <c r="V330">
        <v>50</v>
      </c>
    </row>
    <row r="331" spans="21:22" x14ac:dyDescent="0.3">
      <c r="U331" t="str">
        <v>Cat</v>
      </c>
      <c r="V331">
        <v>100</v>
      </c>
    </row>
    <row r="332" spans="21:22" x14ac:dyDescent="0.3">
      <c r="U332" t="str">
        <v>Rabbit</v>
      </c>
      <c r="V332">
        <v>75</v>
      </c>
    </row>
    <row r="333" spans="21:22" x14ac:dyDescent="0.3">
      <c r="U333" t="str">
        <v>Cat</v>
      </c>
      <c r="V333">
        <v>100</v>
      </c>
    </row>
    <row r="334" spans="21:22" x14ac:dyDescent="0.3">
      <c r="U334" t="str">
        <v>Dog</v>
      </c>
      <c r="V334">
        <v>200</v>
      </c>
    </row>
    <row r="335" spans="21:22" x14ac:dyDescent="0.3">
      <c r="U335" t="str">
        <v>Guinea Pig</v>
      </c>
      <c r="V335">
        <v>75</v>
      </c>
    </row>
    <row r="336" spans="21:22" x14ac:dyDescent="0.3">
      <c r="U336" t="str">
        <v>Bird</v>
      </c>
      <c r="V336">
        <v>150</v>
      </c>
    </row>
    <row r="337" spans="21:22" x14ac:dyDescent="0.3">
      <c r="U337" t="str">
        <v>Cat</v>
      </c>
      <c r="V337">
        <v>100</v>
      </c>
    </row>
    <row r="338" spans="21:22" x14ac:dyDescent="0.3">
      <c r="U338" t="str">
        <v>Dog</v>
      </c>
      <c r="V338">
        <v>75</v>
      </c>
    </row>
    <row r="339" spans="21:22" x14ac:dyDescent="0.3">
      <c r="U339" t="str">
        <v>Bird</v>
      </c>
      <c r="V339">
        <v>100</v>
      </c>
    </row>
    <row r="340" spans="21:22" x14ac:dyDescent="0.3">
      <c r="U340" t="str">
        <v>Guinea Pig</v>
      </c>
      <c r="V340">
        <v>75</v>
      </c>
    </row>
    <row r="341" spans="21:22" x14ac:dyDescent="0.3">
      <c r="U341" t="str">
        <v>Bird</v>
      </c>
      <c r="V341">
        <v>50</v>
      </c>
    </row>
    <row r="342" spans="21:22" x14ac:dyDescent="0.3">
      <c r="U342" t="str">
        <v>Dog</v>
      </c>
      <c r="V342">
        <v>100</v>
      </c>
    </row>
    <row r="343" spans="21:22" x14ac:dyDescent="0.3">
      <c r="U343" t="str">
        <v>Bird</v>
      </c>
      <c r="V343">
        <v>150</v>
      </c>
    </row>
    <row r="344" spans="21:22" x14ac:dyDescent="0.3">
      <c r="U344" t="str">
        <v>Rabbit</v>
      </c>
      <c r="V344">
        <v>150</v>
      </c>
    </row>
    <row r="345" spans="21:22" x14ac:dyDescent="0.3">
      <c r="U345" t="str">
        <v>Bird</v>
      </c>
      <c r="V345">
        <v>200</v>
      </c>
    </row>
    <row r="346" spans="21:22" x14ac:dyDescent="0.3">
      <c r="U346" t="str">
        <v>Cat</v>
      </c>
      <c r="V346">
        <v>75</v>
      </c>
    </row>
    <row r="347" spans="21:22" x14ac:dyDescent="0.3">
      <c r="U347" t="str">
        <v>Cat</v>
      </c>
      <c r="V347">
        <v>100</v>
      </c>
    </row>
    <row r="348" spans="21:22" x14ac:dyDescent="0.3">
      <c r="U348" t="str">
        <v>Rabbit</v>
      </c>
      <c r="V348">
        <v>200</v>
      </c>
    </row>
    <row r="349" spans="21:22" x14ac:dyDescent="0.3">
      <c r="U349" t="str">
        <v>Dog</v>
      </c>
      <c r="V349">
        <v>100</v>
      </c>
    </row>
    <row r="350" spans="21:22" x14ac:dyDescent="0.3">
      <c r="U350" t="str">
        <v>Cat</v>
      </c>
      <c r="V350">
        <v>75</v>
      </c>
    </row>
    <row r="351" spans="21:22" x14ac:dyDescent="0.3">
      <c r="U351" t="str">
        <v>Guinea Pig</v>
      </c>
      <c r="V351">
        <v>150</v>
      </c>
    </row>
    <row r="352" spans="21:22" x14ac:dyDescent="0.3">
      <c r="U352" t="str">
        <v>Cat</v>
      </c>
      <c r="V352">
        <v>50</v>
      </c>
    </row>
    <row r="353" spans="21:22" x14ac:dyDescent="0.3">
      <c r="U353" t="str">
        <v>Cat</v>
      </c>
      <c r="V353">
        <v>150</v>
      </c>
    </row>
    <row r="354" spans="21:22" x14ac:dyDescent="0.3">
      <c r="U354" t="str">
        <v>Dog</v>
      </c>
      <c r="V354">
        <v>200</v>
      </c>
    </row>
    <row r="355" spans="21:22" x14ac:dyDescent="0.3">
      <c r="U355" t="str">
        <v>Bird</v>
      </c>
      <c r="V355">
        <v>50</v>
      </c>
    </row>
    <row r="356" spans="21:22" x14ac:dyDescent="0.3">
      <c r="U356" t="str">
        <v>Cat</v>
      </c>
      <c r="V356">
        <v>200</v>
      </c>
    </row>
    <row r="357" spans="21:22" x14ac:dyDescent="0.3">
      <c r="U357" t="str">
        <v>Rabbit</v>
      </c>
      <c r="V357">
        <v>75</v>
      </c>
    </row>
    <row r="358" spans="21:22" x14ac:dyDescent="0.3">
      <c r="U358" t="str">
        <v>Bird</v>
      </c>
      <c r="V358">
        <v>50</v>
      </c>
    </row>
    <row r="359" spans="21:22" x14ac:dyDescent="0.3">
      <c r="U359" t="str">
        <v>Guinea Pig</v>
      </c>
      <c r="V359">
        <v>200</v>
      </c>
    </row>
    <row r="360" spans="21:22" x14ac:dyDescent="0.3">
      <c r="U360" t="str">
        <v>Dog</v>
      </c>
      <c r="V360">
        <v>75</v>
      </c>
    </row>
    <row r="361" spans="21:22" x14ac:dyDescent="0.3">
      <c r="U361" t="str">
        <v>Guinea Pig</v>
      </c>
      <c r="V361">
        <v>150</v>
      </c>
    </row>
    <row r="362" spans="21:22" x14ac:dyDescent="0.3">
      <c r="U362" t="str">
        <v>Bird</v>
      </c>
      <c r="V362">
        <v>75</v>
      </c>
    </row>
    <row r="363" spans="21:22" x14ac:dyDescent="0.3">
      <c r="U363" t="str">
        <v>Bird</v>
      </c>
      <c r="V363">
        <v>100</v>
      </c>
    </row>
    <row r="364" spans="21:22" x14ac:dyDescent="0.3">
      <c r="U364" t="str">
        <v>Bird</v>
      </c>
      <c r="V364">
        <v>75</v>
      </c>
    </row>
    <row r="365" spans="21:22" x14ac:dyDescent="0.3">
      <c r="U365" t="str">
        <v>Guinea Pig</v>
      </c>
      <c r="V365">
        <v>75</v>
      </c>
    </row>
    <row r="366" spans="21:22" x14ac:dyDescent="0.3">
      <c r="U366" t="str">
        <v>Bird</v>
      </c>
      <c r="V366">
        <v>100</v>
      </c>
    </row>
    <row r="367" spans="21:22" x14ac:dyDescent="0.3">
      <c r="U367" t="str">
        <v>Guinea Pig</v>
      </c>
      <c r="V367">
        <v>200</v>
      </c>
    </row>
    <row r="368" spans="21:22" x14ac:dyDescent="0.3">
      <c r="U368" t="str">
        <v>Bird</v>
      </c>
      <c r="V368">
        <v>200</v>
      </c>
    </row>
    <row r="369" spans="21:22" x14ac:dyDescent="0.3">
      <c r="U369" t="str">
        <v>Rabbit</v>
      </c>
      <c r="V369">
        <v>75</v>
      </c>
    </row>
    <row r="370" spans="21:22" x14ac:dyDescent="0.3">
      <c r="U370" t="str">
        <v>Bird</v>
      </c>
      <c r="V370">
        <v>100</v>
      </c>
    </row>
    <row r="371" spans="21:22" x14ac:dyDescent="0.3">
      <c r="U371" t="str">
        <v>Guinea Pig</v>
      </c>
      <c r="V371">
        <v>100</v>
      </c>
    </row>
    <row r="372" spans="21:22" x14ac:dyDescent="0.3">
      <c r="U372" t="str">
        <v>Cat</v>
      </c>
      <c r="V372">
        <v>150</v>
      </c>
    </row>
    <row r="373" spans="21:22" x14ac:dyDescent="0.3">
      <c r="U373" t="str">
        <v>Bird</v>
      </c>
      <c r="V373">
        <v>200</v>
      </c>
    </row>
    <row r="374" spans="21:22" x14ac:dyDescent="0.3">
      <c r="U374" t="str">
        <v>Cat</v>
      </c>
      <c r="V374">
        <v>50</v>
      </c>
    </row>
    <row r="375" spans="21:22" x14ac:dyDescent="0.3">
      <c r="U375" t="str">
        <v>Rabbit</v>
      </c>
      <c r="V375">
        <v>200</v>
      </c>
    </row>
    <row r="376" spans="21:22" x14ac:dyDescent="0.3">
      <c r="U376" t="str">
        <v>Dog</v>
      </c>
      <c r="V376">
        <v>200</v>
      </c>
    </row>
    <row r="377" spans="21:22" x14ac:dyDescent="0.3">
      <c r="U377" t="str">
        <v>Rabbit</v>
      </c>
      <c r="V377">
        <v>150</v>
      </c>
    </row>
    <row r="378" spans="21:22" x14ac:dyDescent="0.3">
      <c r="U378" t="str">
        <v>Bird</v>
      </c>
      <c r="V378">
        <v>50</v>
      </c>
    </row>
    <row r="379" spans="21:22" x14ac:dyDescent="0.3">
      <c r="U379" t="str">
        <v>Cat</v>
      </c>
      <c r="V379">
        <v>150</v>
      </c>
    </row>
    <row r="380" spans="21:22" x14ac:dyDescent="0.3">
      <c r="U380" t="str">
        <v>Cat</v>
      </c>
      <c r="V380">
        <v>50</v>
      </c>
    </row>
    <row r="381" spans="21:22" x14ac:dyDescent="0.3">
      <c r="U381" t="str">
        <v>Guinea Pig</v>
      </c>
      <c r="V381">
        <v>75</v>
      </c>
    </row>
    <row r="382" spans="21:22" x14ac:dyDescent="0.3">
      <c r="U382" t="str">
        <v>Cat</v>
      </c>
      <c r="V382">
        <v>50</v>
      </c>
    </row>
    <row r="383" spans="21:22" x14ac:dyDescent="0.3">
      <c r="U383" t="str">
        <v>Guinea Pig</v>
      </c>
      <c r="V383">
        <v>150</v>
      </c>
    </row>
    <row r="384" spans="21:22" x14ac:dyDescent="0.3">
      <c r="U384" t="str">
        <v>Dog</v>
      </c>
      <c r="V384">
        <v>200</v>
      </c>
    </row>
    <row r="385" spans="21:22" x14ac:dyDescent="0.3">
      <c r="U385" t="str">
        <v>Bird</v>
      </c>
      <c r="V385">
        <v>50</v>
      </c>
    </row>
    <row r="386" spans="21:22" x14ac:dyDescent="0.3">
      <c r="U386" t="str">
        <v>Guinea Pig</v>
      </c>
      <c r="V386">
        <v>50</v>
      </c>
    </row>
    <row r="387" spans="21:22" x14ac:dyDescent="0.3">
      <c r="U387" t="str">
        <v>Dog</v>
      </c>
      <c r="V387">
        <v>100</v>
      </c>
    </row>
    <row r="388" spans="21:22" x14ac:dyDescent="0.3">
      <c r="U388" t="str">
        <v>Cat</v>
      </c>
      <c r="V388">
        <v>200</v>
      </c>
    </row>
    <row r="389" spans="21:22" x14ac:dyDescent="0.3">
      <c r="U389" t="str">
        <v>Cat</v>
      </c>
      <c r="V389">
        <v>75</v>
      </c>
    </row>
    <row r="390" spans="21:22" x14ac:dyDescent="0.3">
      <c r="U390" t="str">
        <v>Dog</v>
      </c>
      <c r="V390">
        <v>150</v>
      </c>
    </row>
    <row r="391" spans="21:22" x14ac:dyDescent="0.3">
      <c r="U391" t="str">
        <v>Cat</v>
      </c>
      <c r="V391">
        <v>75</v>
      </c>
    </row>
    <row r="392" spans="21:22" x14ac:dyDescent="0.3">
      <c r="U392" t="str">
        <v>Dog</v>
      </c>
      <c r="V392">
        <v>200</v>
      </c>
    </row>
    <row r="393" spans="21:22" x14ac:dyDescent="0.3">
      <c r="U393" t="str">
        <v>Guinea Pig</v>
      </c>
      <c r="V393">
        <v>50</v>
      </c>
    </row>
    <row r="394" spans="21:22" x14ac:dyDescent="0.3">
      <c r="U394" t="str">
        <v>Guinea Pig</v>
      </c>
      <c r="V394">
        <v>50</v>
      </c>
    </row>
    <row r="395" spans="21:22" x14ac:dyDescent="0.3">
      <c r="U395" t="str">
        <v>Dog</v>
      </c>
      <c r="V395">
        <v>200</v>
      </c>
    </row>
    <row r="396" spans="21:22" x14ac:dyDescent="0.3">
      <c r="U396" t="str">
        <v>Guinea Pig</v>
      </c>
      <c r="V396">
        <v>50</v>
      </c>
    </row>
    <row r="397" spans="21:22" x14ac:dyDescent="0.3">
      <c r="U397" t="str">
        <v>Guinea Pig</v>
      </c>
      <c r="V397">
        <v>50</v>
      </c>
    </row>
    <row r="398" spans="21:22" x14ac:dyDescent="0.3">
      <c r="U398" t="str">
        <v>Guinea Pig</v>
      </c>
      <c r="V398">
        <v>50</v>
      </c>
    </row>
    <row r="399" spans="21:22" x14ac:dyDescent="0.3">
      <c r="U399" t="str">
        <v>Rabbit</v>
      </c>
      <c r="V399">
        <v>150</v>
      </c>
    </row>
    <row r="400" spans="21:22" x14ac:dyDescent="0.3">
      <c r="U400" t="str">
        <v>Bird</v>
      </c>
      <c r="V400">
        <v>150</v>
      </c>
    </row>
    <row r="401" spans="21:22" x14ac:dyDescent="0.3">
      <c r="U401" t="str">
        <v>Cat</v>
      </c>
      <c r="V401">
        <v>100</v>
      </c>
    </row>
  </sheetData>
  <mergeCells count="4">
    <mergeCell ref="C1:J1"/>
    <mergeCell ref="L1:S1"/>
    <mergeCell ref="A18:H18"/>
    <mergeCell ref="U1:V1"/>
  </mergeCells>
  <phoneticPr fontId="4" type="noConversion"/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5D9C-76E6-4507-A0A8-00FCF43617DE}">
  <dimension ref="A1"/>
  <sheetViews>
    <sheetView workbookViewId="0"/>
  </sheetViews>
  <sheetFormatPr defaultRowHeight="14.4" x14ac:dyDescent="0.3"/>
  <cols>
    <col min="1" max="1" width="176.44140625" customWidth="1"/>
  </cols>
  <sheetData>
    <row r="1" spans="1:1" ht="409.6" x14ac:dyDescent="0.3">
      <c r="A1" s="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shelter_data</vt:lpstr>
      <vt:lpstr>Solutions</vt:lpstr>
      <vt:lpstr>Changes - 2021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2026-03-19T21:58:55Z</dcterms:modified>
</cp:coreProperties>
</file>